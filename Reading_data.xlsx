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034D47B-B301-4A4F-A533-DD43CD91449B}" xr6:coauthVersionLast="47" xr6:coauthVersionMax="47" xr10:uidLastSave="{00000000-0000-0000-0000-000000000000}"/>
  <bookViews>
    <workbookView xWindow="-120" yWindow="-120" windowWidth="29040" windowHeight="15840" activeTab="4" xr2:uid="{73165C36-3629-46EB-A69F-514D12B07A08}"/>
  </bookViews>
  <sheets>
    <sheet name="2023" sheetId="3" r:id="rId1"/>
    <sheet name="2024" sheetId="2" r:id="rId2"/>
    <sheet name="2025" sheetId="1" r:id="rId3"/>
    <sheet name="2026" sheetId="5" r:id="rId4"/>
    <sheet name="Summary" sheetId="4" r:id="rId5"/>
    <sheet name="Pre-2023" sheetId="6" r:id="rId6"/>
  </sheets>
  <definedNames>
    <definedName name="_xlchart.v1.0" hidden="1">Summary!$E$1</definedName>
    <definedName name="_xlchart.v1.1" hidden="1">Summary!$E$2:$E$37</definedName>
    <definedName name="_xlchart.v1.2" hidden="1">Summary!$D$1</definedName>
    <definedName name="_xlchart.v1.3" hidden="1">Summary!$D$2:$D$37</definedName>
    <definedName name="_xlchart.v1.4" hidden="1">Summary!$F$1</definedName>
    <definedName name="_xlchart.v1.5" hidden="1">Summary!$F$2:$F$37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2" i="4" l="1"/>
  <c r="X13" i="4"/>
  <c r="V12" i="4"/>
  <c r="W12" i="4"/>
  <c r="V13" i="4"/>
  <c r="W13" i="4"/>
  <c r="U13" i="4"/>
  <c r="U12" i="4"/>
  <c r="T13" i="4"/>
  <c r="T12" i="4"/>
  <c r="S2" i="4" a="1"/>
  <c r="S2" i="4" s="1"/>
  <c r="K9" i="5"/>
  <c r="K8" i="5"/>
  <c r="K7" i="5" a="1"/>
  <c r="K7" i="5" s="1"/>
  <c r="K6" i="5"/>
  <c r="K4" i="5"/>
  <c r="K3" i="5"/>
  <c r="O10" i="4"/>
  <c r="P10" i="4" s="1"/>
  <c r="Q10" i="4" s="1"/>
  <c r="L17" i="4"/>
  <c r="L18" i="4"/>
  <c r="L19" i="4"/>
  <c r="L20" i="4"/>
  <c r="L16" i="4"/>
  <c r="L7" i="4"/>
  <c r="L9" i="4"/>
  <c r="L6" i="4"/>
  <c r="O13" i="4" a="1"/>
  <c r="O13" i="4" s="1"/>
  <c r="P13" i="4" s="1" a="1"/>
  <c r="P13" i="4" s="1"/>
  <c r="Q13" i="4" s="1"/>
  <c r="O12" i="4" a="1"/>
  <c r="O12" i="4" s="1"/>
  <c r="P12" i="4" s="1" a="1"/>
  <c r="P12" i="4" s="1"/>
  <c r="Q12" i="4" s="1"/>
  <c r="O11" i="4" a="1"/>
  <c r="O11" i="4" s="1"/>
  <c r="P11" i="4" s="1" a="1"/>
  <c r="P11" i="4" s="1"/>
  <c r="Q11" i="4" s="1"/>
  <c r="O9" i="4" a="1"/>
  <c r="O9" i="4" s="1"/>
  <c r="P9" i="4" s="1" a="1"/>
  <c r="P9" i="4" s="1"/>
  <c r="Q9" i="4" s="1"/>
  <c r="O8" i="4"/>
  <c r="O7" i="4"/>
  <c r="O6" i="4"/>
  <c r="P6" i="4" s="1"/>
  <c r="Q6" i="4" s="1"/>
  <c r="O5" i="4"/>
  <c r="P5" i="4" s="1"/>
  <c r="Q5" i="4" s="1"/>
  <c r="O4" i="4"/>
  <c r="O3" i="4"/>
  <c r="P3" i="4" s="1"/>
  <c r="Q3" i="4" s="1"/>
  <c r="L12" i="4"/>
  <c r="L11" i="4"/>
  <c r="L10" i="4" a="1"/>
  <c r="L10" i="4" s="1"/>
  <c r="L8" i="4"/>
  <c r="L4" i="4"/>
  <c r="L3" i="4"/>
  <c r="K9" i="1"/>
  <c r="K8" i="1"/>
  <c r="K7" i="1" a="1"/>
  <c r="K7" i="1" s="1"/>
  <c r="K9" i="3"/>
  <c r="K8" i="3"/>
  <c r="K7" i="3" a="1"/>
  <c r="K7" i="3" s="1"/>
  <c r="K6" i="3"/>
  <c r="K4" i="3"/>
  <c r="K3" i="3"/>
  <c r="K9" i="2"/>
  <c r="K8" i="2"/>
  <c r="K6" i="2"/>
  <c r="K4" i="2"/>
  <c r="K7" i="2" s="1" a="1"/>
  <c r="K7" i="2" s="1"/>
  <c r="K3" i="2"/>
  <c r="K6" i="1"/>
  <c r="K4" i="1"/>
  <c r="K3" i="1"/>
  <c r="T9" i="4" l="1"/>
  <c r="T8" i="4"/>
  <c r="V5" i="4"/>
  <c r="W4" i="4"/>
  <c r="U7" i="4"/>
  <c r="T7" i="4"/>
  <c r="U6" i="4"/>
  <c r="V4" i="4"/>
  <c r="W3" i="4"/>
  <c r="T6" i="4"/>
  <c r="U5" i="4"/>
  <c r="V3" i="4"/>
  <c r="T5" i="4"/>
  <c r="U4" i="4"/>
  <c r="W9" i="4"/>
  <c r="T4" i="4"/>
  <c r="V9" i="4"/>
  <c r="W8" i="4"/>
  <c r="U3" i="4"/>
  <c r="V8" i="4"/>
  <c r="W7" i="4"/>
  <c r="U9" i="4"/>
  <c r="V7" i="4"/>
  <c r="W6" i="4"/>
  <c r="T3" i="4"/>
  <c r="U8" i="4"/>
  <c r="V6" i="4"/>
  <c r="W5" i="4"/>
  <c r="K5" i="5"/>
  <c r="K5" i="1"/>
  <c r="P7" i="4"/>
  <c r="Q7" i="4" s="1"/>
  <c r="P8" i="4"/>
  <c r="Q8" i="4" s="1"/>
  <c r="P4" i="4"/>
  <c r="Q4" i="4" s="1"/>
  <c r="L5" i="4"/>
  <c r="K5" i="3"/>
  <c r="K5" i="2"/>
  <c r="X9" i="4" l="1"/>
  <c r="X4" i="4"/>
  <c r="X3" i="4"/>
  <c r="X6" i="4"/>
  <c r="X7" i="4"/>
  <c r="X5" i="4"/>
  <c r="X8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<sst xmlns="http://schemas.openxmlformats.org/spreadsheetml/2006/main" count="496" uniqueCount="170">
  <si>
    <t>One Flew Over the Cuckoo's Nest</t>
  </si>
  <si>
    <t>Title</t>
  </si>
  <si>
    <t>Release</t>
  </si>
  <si>
    <t>Pages</t>
  </si>
  <si>
    <t>Avg Rating</t>
  </si>
  <si>
    <t>My Rating</t>
  </si>
  <si>
    <t>Brave New World</t>
  </si>
  <si>
    <t>Hello Beautiful</t>
  </si>
  <si>
    <t>Where the Crawdads Sing</t>
  </si>
  <si>
    <t>American Gods</t>
  </si>
  <si>
    <t>Anansi Boys</t>
  </si>
  <si>
    <t>Count</t>
  </si>
  <si>
    <t>Summary</t>
  </si>
  <si>
    <t>Book Count</t>
  </si>
  <si>
    <t>Page Count</t>
  </si>
  <si>
    <t>Avg Book Length</t>
  </si>
  <si>
    <t>Avg Year</t>
  </si>
  <si>
    <t>Weighted Avg Year</t>
  </si>
  <si>
    <t>Avg Avg Rating</t>
  </si>
  <si>
    <t>My avg rating</t>
  </si>
  <si>
    <t>Flowers for Algernon</t>
  </si>
  <si>
    <t>Fellowship of the Ring</t>
  </si>
  <si>
    <t>The Two Towers</t>
  </si>
  <si>
    <t>Return of the King</t>
  </si>
  <si>
    <t>The Most Dangerous Game</t>
  </si>
  <si>
    <t>Dr. Jekyll &amp; Mr. Hyde</t>
  </si>
  <si>
    <t>Death on the Nile</t>
  </si>
  <si>
    <t>Pinball 1973</t>
  </si>
  <si>
    <t>Hallowe'en Party</t>
  </si>
  <si>
    <t>Murder on the Orient Express</t>
  </si>
  <si>
    <t>Once Upon a Prime</t>
  </si>
  <si>
    <t>And Then There were None</t>
  </si>
  <si>
    <t>Moneyball</t>
  </si>
  <si>
    <t>Flash Boys</t>
  </si>
  <si>
    <t>Cat's Cradle</t>
  </si>
  <si>
    <t>Breakfast of Champions</t>
  </si>
  <si>
    <t>The Great Gatsby</t>
  </si>
  <si>
    <t>Animal Farm</t>
  </si>
  <si>
    <t>The Metamorphosis</t>
  </si>
  <si>
    <t>Dune</t>
  </si>
  <si>
    <t>Dune Messiah</t>
  </si>
  <si>
    <t>Slaughterhouse Five</t>
  </si>
  <si>
    <t>The Hobbit</t>
  </si>
  <si>
    <t>Crime and Punishment</t>
  </si>
  <si>
    <t>The Ten Equations that Rule the World</t>
  </si>
  <si>
    <t>Hear the Wind Sing</t>
  </si>
  <si>
    <t>Frankenstein</t>
  </si>
  <si>
    <t>The da Vinci Code</t>
  </si>
  <si>
    <t>Extremes</t>
  </si>
  <si>
    <t>Oldest</t>
  </si>
  <si>
    <t>Newest</t>
  </si>
  <si>
    <t>Lowest avg rating</t>
  </si>
  <si>
    <t>Highest avg rating</t>
  </si>
  <si>
    <t>Longest</t>
  </si>
  <si>
    <t>Shortest</t>
  </si>
  <si>
    <t>Year Read</t>
  </si>
  <si>
    <t>Value</t>
  </si>
  <si>
    <t>Book Title</t>
  </si>
  <si>
    <t>Stingiest rating</t>
  </si>
  <si>
    <t>Biggest 'hear me out'</t>
  </si>
  <si>
    <t>Closest to avg</t>
  </si>
  <si>
    <t>Median Length</t>
  </si>
  <si>
    <t>Median Year</t>
  </si>
  <si>
    <t>stdev length</t>
  </si>
  <si>
    <t>Ratings</t>
  </si>
  <si>
    <t>Children of Dune</t>
  </si>
  <si>
    <t>The Power Broker: Robert Moses &amp; the Fall of New York</t>
  </si>
  <si>
    <t>Chaos: Making a new Science</t>
  </si>
  <si>
    <t>Highest page * rating</t>
  </si>
  <si>
    <t>Longest 5 star</t>
  </si>
  <si>
    <t>The Song of Achilles</t>
  </si>
  <si>
    <t>Circe</t>
  </si>
  <si>
    <t>The Martian</t>
  </si>
  <si>
    <t>The Midnight Library</t>
  </si>
  <si>
    <t>Carrie</t>
  </si>
  <si>
    <t>On Earth We're Briefly Gorgeous</t>
  </si>
  <si>
    <t>Mythos</t>
  </si>
  <si>
    <t>I, Robot</t>
  </si>
  <si>
    <t>Project Hail Mary</t>
  </si>
  <si>
    <t>Everything is Tuberculosis</t>
  </si>
  <si>
    <t>Invisible Women</t>
  </si>
  <si>
    <t>Genre</t>
  </si>
  <si>
    <t>SciFi</t>
  </si>
  <si>
    <t>Fiction</t>
  </si>
  <si>
    <t>Fantasy</t>
  </si>
  <si>
    <t>Classic</t>
  </si>
  <si>
    <t>Nonfiction</t>
  </si>
  <si>
    <t>Mystery</t>
  </si>
  <si>
    <t>Mean Rating</t>
  </si>
  <si>
    <t>Mean Length</t>
  </si>
  <si>
    <t>Mean Audience Rating</t>
  </si>
  <si>
    <t>Diff</t>
  </si>
  <si>
    <t>Author</t>
  </si>
  <si>
    <t>Frank Herbert</t>
  </si>
  <si>
    <t>Mary Shelley</t>
  </si>
  <si>
    <t>J.R.R. Tolkein</t>
  </si>
  <si>
    <t>Michael Lewis</t>
  </si>
  <si>
    <t>Agatha Christie</t>
  </si>
  <si>
    <t>Robert Caro</t>
  </si>
  <si>
    <t>Hank Green</t>
  </si>
  <si>
    <t>Isaac Asimov</t>
  </si>
  <si>
    <t>Stephen Fry</t>
  </si>
  <si>
    <t>Neil Gaiman</t>
  </si>
  <si>
    <t>Franz Kafka</t>
  </si>
  <si>
    <t>Haruki Murakami</t>
  </si>
  <si>
    <t>Kurt Vonnegut</t>
  </si>
  <si>
    <t>George Orwell</t>
  </si>
  <si>
    <t>Fyodor Dostoyevsky</t>
  </si>
  <si>
    <t>Dan Brown</t>
  </si>
  <si>
    <t>Daniel Keyes</t>
  </si>
  <si>
    <t>Richard Connell</t>
  </si>
  <si>
    <t>Robert Louis Stevenson</t>
  </si>
  <si>
    <t>Sarah Hart</t>
  </si>
  <si>
    <t>F. Scott Fitzgerald</t>
  </si>
  <si>
    <t>Ken Kesey</t>
  </si>
  <si>
    <t>Aldous Huxley</t>
  </si>
  <si>
    <t>Ann Napolitano</t>
  </si>
  <si>
    <t>Delia Owens</t>
  </si>
  <si>
    <t>Andy Weir</t>
  </si>
  <si>
    <t>Madeline Miller</t>
  </si>
  <si>
    <t>Matt Haig</t>
  </si>
  <si>
    <t>Stephen King</t>
  </si>
  <si>
    <t>Ocean Vuong</t>
  </si>
  <si>
    <t>Caroline Criado Perez</t>
  </si>
  <si>
    <t>Math Without Numbers</t>
  </si>
  <si>
    <t>Milo Beckman</t>
  </si>
  <si>
    <t>Humble Pi</t>
  </si>
  <si>
    <t>Matt Parker</t>
  </si>
  <si>
    <t>Their Eyes Were Watching God</t>
  </si>
  <si>
    <t>Zora Neale Hurston</t>
  </si>
  <si>
    <t>School?</t>
  </si>
  <si>
    <t>Y</t>
  </si>
  <si>
    <t>Ender's Game</t>
  </si>
  <si>
    <t>Orson Scott Card</t>
  </si>
  <si>
    <t>The Fault in Our Stars</t>
  </si>
  <si>
    <t>John Green</t>
  </si>
  <si>
    <t>A Raisin in the Sun</t>
  </si>
  <si>
    <t>Lorraine Hansberry</t>
  </si>
  <si>
    <t>The Crucible</t>
  </si>
  <si>
    <t>Arthur Miller</t>
  </si>
  <si>
    <t>Our Mathematical Universe</t>
  </si>
  <si>
    <t>Max Tegmark</t>
  </si>
  <si>
    <t>The Odyssey</t>
  </si>
  <si>
    <t>Homer</t>
  </si>
  <si>
    <t>The Adventures of Huckleberry Finn</t>
  </si>
  <si>
    <t>Mark Twain</t>
  </si>
  <si>
    <t>Of Mice and Men</t>
  </si>
  <si>
    <t>John Steinbeck</t>
  </si>
  <si>
    <t>The Catcher in the Rye</t>
  </si>
  <si>
    <t>J.D. Salinger</t>
  </si>
  <si>
    <t>To Kill a Mockingbird</t>
  </si>
  <si>
    <t>Harper Lee</t>
  </si>
  <si>
    <t>The Outsiders</t>
  </si>
  <si>
    <t>S.E. Hinton</t>
  </si>
  <si>
    <t>The Hitchhiker's Guide to the Galaxy</t>
  </si>
  <si>
    <t>Douglas Adams</t>
  </si>
  <si>
    <t>The Restaurant at the End of the Universe</t>
  </si>
  <si>
    <t>The Giver</t>
  </si>
  <si>
    <t>Lois Lowry</t>
  </si>
  <si>
    <t>Fahrenheit 451</t>
  </si>
  <si>
    <t>Ray Bradbury</t>
  </si>
  <si>
    <t>Macbeth</t>
  </si>
  <si>
    <t>William Shakespeare</t>
  </si>
  <si>
    <t>Play</t>
  </si>
  <si>
    <t>Romeo and Juliet</t>
  </si>
  <si>
    <t>How to Win Friends and Influence People</t>
  </si>
  <si>
    <t>Dale Carnegie</t>
  </si>
  <si>
    <t>Roll of Thunder, Hear My Cry</t>
  </si>
  <si>
    <t>Mildred D. Taylor</t>
  </si>
  <si>
    <t>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</si>
</sst>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Rating by Release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Release Year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Summary!$D$2:$D$1000</c:f>
              <c:numCache>
                <c:formatCode>General</c:formatCode>
                <c:ptCount val="999"/>
                <c:pt idx="0">
                  <c:v>1965</c:v>
                </c:pt>
                <c:pt idx="1">
                  <c:v>1969</c:v>
                </c:pt>
                <c:pt idx="2">
                  <c:v>1969</c:v>
                </c:pt>
                <c:pt idx="3">
                  <c:v>1937</c:v>
                </c:pt>
                <c:pt idx="4">
                  <c:v>1866</c:v>
                </c:pt>
                <c:pt idx="5">
                  <c:v>2021</c:v>
                </c:pt>
                <c:pt idx="6">
                  <c:v>1979</c:v>
                </c:pt>
                <c:pt idx="7">
                  <c:v>1818</c:v>
                </c:pt>
                <c:pt idx="8">
                  <c:v>2003</c:v>
                </c:pt>
                <c:pt idx="9">
                  <c:v>1958</c:v>
                </c:pt>
                <c:pt idx="10">
                  <c:v>1954</c:v>
                </c:pt>
                <c:pt idx="11">
                  <c:v>1954</c:v>
                </c:pt>
                <c:pt idx="12">
                  <c:v>1955</c:v>
                </c:pt>
                <c:pt idx="13">
                  <c:v>1924</c:v>
                </c:pt>
                <c:pt idx="14">
                  <c:v>1886</c:v>
                </c:pt>
                <c:pt idx="15">
                  <c:v>1915</c:v>
                </c:pt>
                <c:pt idx="16">
                  <c:v>1937</c:v>
                </c:pt>
                <c:pt idx="17">
                  <c:v>1980</c:v>
                </c:pt>
                <c:pt idx="18">
                  <c:v>1969</c:v>
                </c:pt>
                <c:pt idx="19">
                  <c:v>1934</c:v>
                </c:pt>
                <c:pt idx="20">
                  <c:v>2023</c:v>
                </c:pt>
                <c:pt idx="21">
                  <c:v>1939</c:v>
                </c:pt>
                <c:pt idx="22">
                  <c:v>2003</c:v>
                </c:pt>
                <c:pt idx="23">
                  <c:v>2014</c:v>
                </c:pt>
                <c:pt idx="24">
                  <c:v>1963</c:v>
                </c:pt>
                <c:pt idx="25">
                  <c:v>1973</c:v>
                </c:pt>
                <c:pt idx="26">
                  <c:v>1925</c:v>
                </c:pt>
                <c:pt idx="27">
                  <c:v>1945</c:v>
                </c:pt>
                <c:pt idx="28">
                  <c:v>1963</c:v>
                </c:pt>
                <c:pt idx="29">
                  <c:v>1932</c:v>
                </c:pt>
                <c:pt idx="30">
                  <c:v>2023</c:v>
                </c:pt>
                <c:pt idx="31">
                  <c:v>2018</c:v>
                </c:pt>
                <c:pt idx="32">
                  <c:v>2001</c:v>
                </c:pt>
                <c:pt idx="33">
                  <c:v>2006</c:v>
                </c:pt>
                <c:pt idx="34">
                  <c:v>2014</c:v>
                </c:pt>
                <c:pt idx="35">
                  <c:v>1974</c:v>
                </c:pt>
                <c:pt idx="36">
                  <c:v>1976</c:v>
                </c:pt>
                <c:pt idx="37">
                  <c:v>2011</c:v>
                </c:pt>
                <c:pt idx="38">
                  <c:v>2018</c:v>
                </c:pt>
                <c:pt idx="39">
                  <c:v>2020</c:v>
                </c:pt>
                <c:pt idx="40">
                  <c:v>1974</c:v>
                </c:pt>
                <c:pt idx="41">
                  <c:v>2019</c:v>
                </c:pt>
                <c:pt idx="42">
                  <c:v>2017</c:v>
                </c:pt>
                <c:pt idx="43">
                  <c:v>1950</c:v>
                </c:pt>
                <c:pt idx="44">
                  <c:v>2021</c:v>
                </c:pt>
                <c:pt idx="45">
                  <c:v>2025</c:v>
                </c:pt>
                <c:pt idx="46">
                  <c:v>2019</c:v>
                </c:pt>
                <c:pt idx="47">
                  <c:v>2021</c:v>
                </c:pt>
                <c:pt idx="48">
                  <c:v>2019</c:v>
                </c:pt>
                <c:pt idx="49">
                  <c:v>1937</c:v>
                </c:pt>
                <c:pt idx="50">
                  <c:v>1985</c:v>
                </c:pt>
                <c:pt idx="51">
                  <c:v>2012</c:v>
                </c:pt>
                <c:pt idx="52">
                  <c:v>1959</c:v>
                </c:pt>
                <c:pt idx="53">
                  <c:v>1953</c:v>
                </c:pt>
                <c:pt idx="54">
                  <c:v>2012</c:v>
                </c:pt>
                <c:pt idx="55">
                  <c:v>801</c:v>
                </c:pt>
                <c:pt idx="56">
                  <c:v>1885</c:v>
                </c:pt>
                <c:pt idx="57">
                  <c:v>1937</c:v>
                </c:pt>
                <c:pt idx="58">
                  <c:v>1951</c:v>
                </c:pt>
                <c:pt idx="59">
                  <c:v>1960</c:v>
                </c:pt>
                <c:pt idx="60">
                  <c:v>1967</c:v>
                </c:pt>
                <c:pt idx="61">
                  <c:v>1979</c:v>
                </c:pt>
                <c:pt idx="62">
                  <c:v>1980</c:v>
                </c:pt>
                <c:pt idx="63">
                  <c:v>1993</c:v>
                </c:pt>
                <c:pt idx="64">
                  <c:v>1953</c:v>
                </c:pt>
                <c:pt idx="65">
                  <c:v>1948</c:v>
                </c:pt>
                <c:pt idx="66">
                  <c:v>1623</c:v>
                </c:pt>
                <c:pt idx="67">
                  <c:v>1590</c:v>
                </c:pt>
                <c:pt idx="68">
                  <c:v>1936</c:v>
                </c:pt>
                <c:pt idx="69">
                  <c:v>1976</c:v>
                </c:pt>
              </c:numCache>
            </c:numRef>
          </c:xVal>
          <c:yVal>
            <c:numRef>
              <c:f>Summary!$F$2:$F$1000</c:f>
              <c:numCache>
                <c:formatCode>General</c:formatCode>
                <c:ptCount val="999"/>
                <c:pt idx="0">
                  <c:v>4.28</c:v>
                </c:pt>
                <c:pt idx="1">
                  <c:v>3.89</c:v>
                </c:pt>
                <c:pt idx="2">
                  <c:v>4.0999999999999996</c:v>
                </c:pt>
                <c:pt idx="3">
                  <c:v>4.29</c:v>
                </c:pt>
                <c:pt idx="4">
                  <c:v>4.28</c:v>
                </c:pt>
                <c:pt idx="5">
                  <c:v>3.65</c:v>
                </c:pt>
                <c:pt idx="6">
                  <c:v>3.57</c:v>
                </c:pt>
                <c:pt idx="7">
                  <c:v>3.89</c:v>
                </c:pt>
                <c:pt idx="8">
                  <c:v>3.93</c:v>
                </c:pt>
                <c:pt idx="9">
                  <c:v>4.2300000000000004</c:v>
                </c:pt>
                <c:pt idx="10">
                  <c:v>4.4000000000000004</c:v>
                </c:pt>
                <c:pt idx="11">
                  <c:v>4.5</c:v>
                </c:pt>
                <c:pt idx="12">
                  <c:v>4.58</c:v>
                </c:pt>
                <c:pt idx="13">
                  <c:v>3.95</c:v>
                </c:pt>
                <c:pt idx="14">
                  <c:v>3.83</c:v>
                </c:pt>
                <c:pt idx="15">
                  <c:v>3.89</c:v>
                </c:pt>
                <c:pt idx="16">
                  <c:v>4.12</c:v>
                </c:pt>
                <c:pt idx="17">
                  <c:v>3.51</c:v>
                </c:pt>
                <c:pt idx="18">
                  <c:v>3.57</c:v>
                </c:pt>
                <c:pt idx="19">
                  <c:v>4.2</c:v>
                </c:pt>
                <c:pt idx="20">
                  <c:v>3.89</c:v>
                </c:pt>
                <c:pt idx="21">
                  <c:v>4.28</c:v>
                </c:pt>
                <c:pt idx="22">
                  <c:v>4.2699999999999996</c:v>
                </c:pt>
                <c:pt idx="23">
                  <c:v>4.1399999999999997</c:v>
                </c:pt>
                <c:pt idx="24">
                  <c:v>4.1500000000000004</c:v>
                </c:pt>
                <c:pt idx="25">
                  <c:v>4.0599999999999996</c:v>
                </c:pt>
                <c:pt idx="26">
                  <c:v>3.93</c:v>
                </c:pt>
                <c:pt idx="27">
                  <c:v>4</c:v>
                </c:pt>
                <c:pt idx="28">
                  <c:v>4.2</c:v>
                </c:pt>
                <c:pt idx="29">
                  <c:v>3.99</c:v>
                </c:pt>
                <c:pt idx="30">
                  <c:v>4.1399999999999997</c:v>
                </c:pt>
                <c:pt idx="31">
                  <c:v>4.38</c:v>
                </c:pt>
                <c:pt idx="32">
                  <c:v>4.0999999999999996</c:v>
                </c:pt>
                <c:pt idx="33">
                  <c:v>4.04</c:v>
                </c:pt>
                <c:pt idx="34">
                  <c:v>4.42</c:v>
                </c:pt>
                <c:pt idx="35">
                  <c:v>4.5199999999999996</c:v>
                </c:pt>
                <c:pt idx="36">
                  <c:v>3.96</c:v>
                </c:pt>
                <c:pt idx="37">
                  <c:v>4.3099999999999996</c:v>
                </c:pt>
                <c:pt idx="38">
                  <c:v>4.22</c:v>
                </c:pt>
                <c:pt idx="39">
                  <c:v>3.98</c:v>
                </c:pt>
                <c:pt idx="40">
                  <c:v>3.99</c:v>
                </c:pt>
                <c:pt idx="41">
                  <c:v>4</c:v>
                </c:pt>
                <c:pt idx="42">
                  <c:v>4.25</c:v>
                </c:pt>
                <c:pt idx="43">
                  <c:v>4.21</c:v>
                </c:pt>
                <c:pt idx="44">
                  <c:v>4.51</c:v>
                </c:pt>
                <c:pt idx="45">
                  <c:v>4.33</c:v>
                </c:pt>
                <c:pt idx="46">
                  <c:v>4.33</c:v>
                </c:pt>
                <c:pt idx="47">
                  <c:v>4.0999999999999996</c:v>
                </c:pt>
                <c:pt idx="48">
                  <c:v>4.0999999999999996</c:v>
                </c:pt>
                <c:pt idx="49">
                  <c:v>3.99</c:v>
                </c:pt>
                <c:pt idx="50">
                  <c:v>4.3099999999999996</c:v>
                </c:pt>
                <c:pt idx="51">
                  <c:v>4.12</c:v>
                </c:pt>
                <c:pt idx="52">
                  <c:v>3.85</c:v>
                </c:pt>
                <c:pt idx="53">
                  <c:v>3.61</c:v>
                </c:pt>
                <c:pt idx="54">
                  <c:v>4.18</c:v>
                </c:pt>
                <c:pt idx="55">
                  <c:v>3.84</c:v>
                </c:pt>
                <c:pt idx="56">
                  <c:v>3.83</c:v>
                </c:pt>
                <c:pt idx="57">
                  <c:v>3.9</c:v>
                </c:pt>
                <c:pt idx="58">
                  <c:v>3.8</c:v>
                </c:pt>
                <c:pt idx="59">
                  <c:v>4.26</c:v>
                </c:pt>
                <c:pt idx="60">
                  <c:v>4.1500000000000004</c:v>
                </c:pt>
                <c:pt idx="61">
                  <c:v>4.22</c:v>
                </c:pt>
                <c:pt idx="62">
                  <c:v>4.1900000000000004</c:v>
                </c:pt>
                <c:pt idx="63">
                  <c:v>4.12</c:v>
                </c:pt>
                <c:pt idx="64">
                  <c:v>3.97</c:v>
                </c:pt>
                <c:pt idx="65">
                  <c:v>4.2</c:v>
                </c:pt>
                <c:pt idx="66">
                  <c:v>3.89</c:v>
                </c:pt>
                <c:pt idx="67">
                  <c:v>3.74</c:v>
                </c:pt>
                <c:pt idx="68">
                  <c:v>4.21</c:v>
                </c:pt>
                <c:pt idx="69">
                  <c:v>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4B-4821-8423-F8A3E7894678}"/>
            </c:ext>
          </c:extLst>
        </c:ser>
        <c:ser>
          <c:idx val="1"/>
          <c:order val="1"/>
          <c:tx>
            <c:v>prat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Summary!$D$2:$D$2000</c:f>
              <c:numCache>
                <c:formatCode>General</c:formatCode>
                <c:ptCount val="1999"/>
                <c:pt idx="0">
                  <c:v>1965</c:v>
                </c:pt>
                <c:pt idx="1">
                  <c:v>1969</c:v>
                </c:pt>
                <c:pt idx="2">
                  <c:v>1969</c:v>
                </c:pt>
                <c:pt idx="3">
                  <c:v>1937</c:v>
                </c:pt>
                <c:pt idx="4">
                  <c:v>1866</c:v>
                </c:pt>
                <c:pt idx="5">
                  <c:v>2021</c:v>
                </c:pt>
                <c:pt idx="6">
                  <c:v>1979</c:v>
                </c:pt>
                <c:pt idx="7">
                  <c:v>1818</c:v>
                </c:pt>
                <c:pt idx="8">
                  <c:v>2003</c:v>
                </c:pt>
                <c:pt idx="9">
                  <c:v>1958</c:v>
                </c:pt>
                <c:pt idx="10">
                  <c:v>1954</c:v>
                </c:pt>
                <c:pt idx="11">
                  <c:v>1954</c:v>
                </c:pt>
                <c:pt idx="12">
                  <c:v>1955</c:v>
                </c:pt>
                <c:pt idx="13">
                  <c:v>1924</c:v>
                </c:pt>
                <c:pt idx="14">
                  <c:v>1886</c:v>
                </c:pt>
                <c:pt idx="15">
                  <c:v>1915</c:v>
                </c:pt>
                <c:pt idx="16">
                  <c:v>1937</c:v>
                </c:pt>
                <c:pt idx="17">
                  <c:v>1980</c:v>
                </c:pt>
                <c:pt idx="18">
                  <c:v>1969</c:v>
                </c:pt>
                <c:pt idx="19">
                  <c:v>1934</c:v>
                </c:pt>
                <c:pt idx="20">
                  <c:v>2023</c:v>
                </c:pt>
                <c:pt idx="21">
                  <c:v>1939</c:v>
                </c:pt>
                <c:pt idx="22">
                  <c:v>2003</c:v>
                </c:pt>
                <c:pt idx="23">
                  <c:v>2014</c:v>
                </c:pt>
                <c:pt idx="24">
                  <c:v>1963</c:v>
                </c:pt>
                <c:pt idx="25">
                  <c:v>1973</c:v>
                </c:pt>
                <c:pt idx="26">
                  <c:v>1925</c:v>
                </c:pt>
                <c:pt idx="27">
                  <c:v>1945</c:v>
                </c:pt>
                <c:pt idx="28">
                  <c:v>1963</c:v>
                </c:pt>
                <c:pt idx="29">
                  <c:v>1932</c:v>
                </c:pt>
                <c:pt idx="30">
                  <c:v>2023</c:v>
                </c:pt>
                <c:pt idx="31">
                  <c:v>2018</c:v>
                </c:pt>
                <c:pt idx="32">
                  <c:v>2001</c:v>
                </c:pt>
                <c:pt idx="33">
                  <c:v>2006</c:v>
                </c:pt>
                <c:pt idx="34">
                  <c:v>2014</c:v>
                </c:pt>
                <c:pt idx="35">
                  <c:v>1974</c:v>
                </c:pt>
                <c:pt idx="36">
                  <c:v>1976</c:v>
                </c:pt>
                <c:pt idx="37">
                  <c:v>2011</c:v>
                </c:pt>
                <c:pt idx="38">
                  <c:v>2018</c:v>
                </c:pt>
                <c:pt idx="39">
                  <c:v>2020</c:v>
                </c:pt>
                <c:pt idx="40">
                  <c:v>1974</c:v>
                </c:pt>
                <c:pt idx="41">
                  <c:v>2019</c:v>
                </c:pt>
                <c:pt idx="42">
                  <c:v>2017</c:v>
                </c:pt>
                <c:pt idx="43">
                  <c:v>1950</c:v>
                </c:pt>
                <c:pt idx="44">
                  <c:v>2021</c:v>
                </c:pt>
                <c:pt idx="45">
                  <c:v>2025</c:v>
                </c:pt>
                <c:pt idx="46">
                  <c:v>2019</c:v>
                </c:pt>
                <c:pt idx="47">
                  <c:v>2021</c:v>
                </c:pt>
                <c:pt idx="48">
                  <c:v>2019</c:v>
                </c:pt>
                <c:pt idx="49">
                  <c:v>1937</c:v>
                </c:pt>
                <c:pt idx="50">
                  <c:v>1985</c:v>
                </c:pt>
                <c:pt idx="51">
                  <c:v>2012</c:v>
                </c:pt>
                <c:pt idx="52">
                  <c:v>1959</c:v>
                </c:pt>
                <c:pt idx="53">
                  <c:v>1953</c:v>
                </c:pt>
                <c:pt idx="54">
                  <c:v>2012</c:v>
                </c:pt>
                <c:pt idx="55">
                  <c:v>801</c:v>
                </c:pt>
                <c:pt idx="56">
                  <c:v>1885</c:v>
                </c:pt>
                <c:pt idx="57">
                  <c:v>1937</c:v>
                </c:pt>
                <c:pt idx="58">
                  <c:v>1951</c:v>
                </c:pt>
                <c:pt idx="59">
                  <c:v>1960</c:v>
                </c:pt>
                <c:pt idx="60">
                  <c:v>1967</c:v>
                </c:pt>
                <c:pt idx="61">
                  <c:v>1979</c:v>
                </c:pt>
                <c:pt idx="62">
                  <c:v>1980</c:v>
                </c:pt>
                <c:pt idx="63">
                  <c:v>1993</c:v>
                </c:pt>
                <c:pt idx="64">
                  <c:v>1953</c:v>
                </c:pt>
                <c:pt idx="65">
                  <c:v>1948</c:v>
                </c:pt>
                <c:pt idx="66">
                  <c:v>1623</c:v>
                </c:pt>
                <c:pt idx="67">
                  <c:v>1590</c:v>
                </c:pt>
                <c:pt idx="68">
                  <c:v>1936</c:v>
                </c:pt>
                <c:pt idx="69">
                  <c:v>1976</c:v>
                </c:pt>
              </c:numCache>
            </c:numRef>
          </c:xVal>
          <c:yVal>
            <c:numRef>
              <c:f>Summary!$G$2:$G$2000</c:f>
              <c:numCache>
                <c:formatCode>General</c:formatCode>
                <c:ptCount val="1999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5</c:v>
                </c:pt>
                <c:pt idx="17">
                  <c:v>2</c:v>
                </c:pt>
                <c:pt idx="18">
                  <c:v>4</c:v>
                </c:pt>
                <c:pt idx="19">
                  <c:v>5</c:v>
                </c:pt>
                <c:pt idx="20">
                  <c:v>3</c:v>
                </c:pt>
                <c:pt idx="21">
                  <c:v>5</c:v>
                </c:pt>
                <c:pt idx="22">
                  <c:v>3</c:v>
                </c:pt>
                <c:pt idx="23">
                  <c:v>4</c:v>
                </c:pt>
                <c:pt idx="24">
                  <c:v>4</c:v>
                </c:pt>
                <c:pt idx="25">
                  <c:v>3</c:v>
                </c:pt>
                <c:pt idx="26">
                  <c:v>3</c:v>
                </c:pt>
                <c:pt idx="27">
                  <c:v>4</c:v>
                </c:pt>
                <c:pt idx="28">
                  <c:v>3</c:v>
                </c:pt>
                <c:pt idx="29">
                  <c:v>5</c:v>
                </c:pt>
                <c:pt idx="30">
                  <c:v>5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5</c:v>
                </c:pt>
                <c:pt idx="35">
                  <c:v>4</c:v>
                </c:pt>
                <c:pt idx="36">
                  <c:v>3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3</c:v>
                </c:pt>
                <c:pt idx="41">
                  <c:v>3</c:v>
                </c:pt>
                <c:pt idx="42">
                  <c:v>4</c:v>
                </c:pt>
                <c:pt idx="43">
                  <c:v>4</c:v>
                </c:pt>
                <c:pt idx="44">
                  <c:v>5</c:v>
                </c:pt>
                <c:pt idx="45">
                  <c:v>5</c:v>
                </c:pt>
                <c:pt idx="46">
                  <c:v>4</c:v>
                </c:pt>
                <c:pt idx="47">
                  <c:v>5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3</c:v>
                </c:pt>
                <c:pt idx="53">
                  <c:v>3</c:v>
                </c:pt>
                <c:pt idx="54">
                  <c:v>5</c:v>
                </c:pt>
                <c:pt idx="55">
                  <c:v>4</c:v>
                </c:pt>
                <c:pt idx="56">
                  <c:v>4</c:v>
                </c:pt>
                <c:pt idx="57">
                  <c:v>3</c:v>
                </c:pt>
                <c:pt idx="58">
                  <c:v>3</c:v>
                </c:pt>
                <c:pt idx="59">
                  <c:v>4</c:v>
                </c:pt>
                <c:pt idx="60">
                  <c:v>4</c:v>
                </c:pt>
                <c:pt idx="61">
                  <c:v>5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3</c:v>
                </c:pt>
                <c:pt idx="68">
                  <c:v>5</c:v>
                </c:pt>
                <c:pt idx="6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4B-4821-8423-F8A3E7894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159104"/>
        <c:axId val="593155504"/>
      </c:scatterChart>
      <c:valAx>
        <c:axId val="593159104"/>
        <c:scaling>
          <c:orientation val="minMax"/>
          <c:max val="2030"/>
          <c:min val="1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Release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155504"/>
        <c:crosses val="autoZero"/>
        <c:crossBetween val="midCat"/>
      </c:valAx>
      <c:valAx>
        <c:axId val="59315550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159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Rating by Length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Length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Summary!$E$2:$E$1000</c:f>
              <c:numCache>
                <c:formatCode>General</c:formatCode>
                <c:ptCount val="999"/>
                <c:pt idx="0">
                  <c:v>658</c:v>
                </c:pt>
                <c:pt idx="1">
                  <c:v>336</c:v>
                </c:pt>
                <c:pt idx="2">
                  <c:v>275</c:v>
                </c:pt>
                <c:pt idx="3">
                  <c:v>366</c:v>
                </c:pt>
                <c:pt idx="4">
                  <c:v>671</c:v>
                </c:pt>
                <c:pt idx="5">
                  <c:v>248</c:v>
                </c:pt>
                <c:pt idx="6">
                  <c:v>130</c:v>
                </c:pt>
                <c:pt idx="7">
                  <c:v>260</c:v>
                </c:pt>
                <c:pt idx="8">
                  <c:v>489</c:v>
                </c:pt>
                <c:pt idx="9">
                  <c:v>311</c:v>
                </c:pt>
                <c:pt idx="10">
                  <c:v>432</c:v>
                </c:pt>
                <c:pt idx="11">
                  <c:v>448</c:v>
                </c:pt>
                <c:pt idx="12">
                  <c:v>432</c:v>
                </c:pt>
                <c:pt idx="13">
                  <c:v>27</c:v>
                </c:pt>
                <c:pt idx="14">
                  <c:v>139</c:v>
                </c:pt>
                <c:pt idx="15">
                  <c:v>201</c:v>
                </c:pt>
                <c:pt idx="16">
                  <c:v>352</c:v>
                </c:pt>
                <c:pt idx="17">
                  <c:v>215</c:v>
                </c:pt>
                <c:pt idx="18">
                  <c:v>336</c:v>
                </c:pt>
                <c:pt idx="19">
                  <c:v>274</c:v>
                </c:pt>
                <c:pt idx="20">
                  <c:v>286</c:v>
                </c:pt>
                <c:pt idx="21">
                  <c:v>264</c:v>
                </c:pt>
                <c:pt idx="22">
                  <c:v>317</c:v>
                </c:pt>
                <c:pt idx="23">
                  <c:v>304</c:v>
                </c:pt>
                <c:pt idx="24">
                  <c:v>306</c:v>
                </c:pt>
                <c:pt idx="25">
                  <c:v>303</c:v>
                </c:pt>
                <c:pt idx="26">
                  <c:v>180</c:v>
                </c:pt>
                <c:pt idx="27">
                  <c:v>141</c:v>
                </c:pt>
                <c:pt idx="28">
                  <c:v>325</c:v>
                </c:pt>
                <c:pt idx="29">
                  <c:v>268</c:v>
                </c:pt>
                <c:pt idx="30">
                  <c:v>416</c:v>
                </c:pt>
                <c:pt idx="31">
                  <c:v>384</c:v>
                </c:pt>
                <c:pt idx="32">
                  <c:v>635</c:v>
                </c:pt>
                <c:pt idx="33">
                  <c:v>387</c:v>
                </c:pt>
                <c:pt idx="34">
                  <c:v>369</c:v>
                </c:pt>
                <c:pt idx="35">
                  <c:v>1246</c:v>
                </c:pt>
                <c:pt idx="36">
                  <c:v>609</c:v>
                </c:pt>
                <c:pt idx="37">
                  <c:v>416</c:v>
                </c:pt>
                <c:pt idx="38">
                  <c:v>393</c:v>
                </c:pt>
                <c:pt idx="39">
                  <c:v>288</c:v>
                </c:pt>
                <c:pt idx="40">
                  <c:v>272</c:v>
                </c:pt>
                <c:pt idx="41">
                  <c:v>246</c:v>
                </c:pt>
                <c:pt idx="42">
                  <c:v>416</c:v>
                </c:pt>
                <c:pt idx="43">
                  <c:v>224</c:v>
                </c:pt>
                <c:pt idx="44">
                  <c:v>476</c:v>
                </c:pt>
                <c:pt idx="45">
                  <c:v>198</c:v>
                </c:pt>
                <c:pt idx="46">
                  <c:v>448</c:v>
                </c:pt>
                <c:pt idx="47">
                  <c:v>224</c:v>
                </c:pt>
                <c:pt idx="48">
                  <c:v>314</c:v>
                </c:pt>
                <c:pt idx="49">
                  <c:v>238</c:v>
                </c:pt>
                <c:pt idx="50">
                  <c:v>324</c:v>
                </c:pt>
                <c:pt idx="51">
                  <c:v>313</c:v>
                </c:pt>
                <c:pt idx="52">
                  <c:v>162</c:v>
                </c:pt>
                <c:pt idx="53">
                  <c:v>143</c:v>
                </c:pt>
                <c:pt idx="54">
                  <c:v>432</c:v>
                </c:pt>
                <c:pt idx="55">
                  <c:v>541</c:v>
                </c:pt>
                <c:pt idx="56">
                  <c:v>327</c:v>
                </c:pt>
                <c:pt idx="57">
                  <c:v>107</c:v>
                </c:pt>
                <c:pt idx="58">
                  <c:v>277</c:v>
                </c:pt>
                <c:pt idx="59">
                  <c:v>323</c:v>
                </c:pt>
                <c:pt idx="60">
                  <c:v>208</c:v>
                </c:pt>
                <c:pt idx="61">
                  <c:v>216</c:v>
                </c:pt>
                <c:pt idx="62">
                  <c:v>250</c:v>
                </c:pt>
                <c:pt idx="63">
                  <c:v>208</c:v>
                </c:pt>
                <c:pt idx="64">
                  <c:v>249</c:v>
                </c:pt>
                <c:pt idx="65">
                  <c:v>368</c:v>
                </c:pt>
                <c:pt idx="66">
                  <c:v>249</c:v>
                </c:pt>
                <c:pt idx="67">
                  <c:v>281</c:v>
                </c:pt>
                <c:pt idx="68">
                  <c:v>288</c:v>
                </c:pt>
                <c:pt idx="69">
                  <c:v>288</c:v>
                </c:pt>
              </c:numCache>
            </c:numRef>
          </c:xVal>
          <c:yVal>
            <c:numRef>
              <c:f>Summary!$F$2:$F$1000</c:f>
              <c:numCache>
                <c:formatCode>General</c:formatCode>
                <c:ptCount val="999"/>
                <c:pt idx="0">
                  <c:v>4.28</c:v>
                </c:pt>
                <c:pt idx="1">
                  <c:v>3.89</c:v>
                </c:pt>
                <c:pt idx="2">
                  <c:v>4.0999999999999996</c:v>
                </c:pt>
                <c:pt idx="3">
                  <c:v>4.29</c:v>
                </c:pt>
                <c:pt idx="4">
                  <c:v>4.28</c:v>
                </c:pt>
                <c:pt idx="5">
                  <c:v>3.65</c:v>
                </c:pt>
                <c:pt idx="6">
                  <c:v>3.57</c:v>
                </c:pt>
                <c:pt idx="7">
                  <c:v>3.89</c:v>
                </c:pt>
                <c:pt idx="8">
                  <c:v>3.93</c:v>
                </c:pt>
                <c:pt idx="9">
                  <c:v>4.2300000000000004</c:v>
                </c:pt>
                <c:pt idx="10">
                  <c:v>4.4000000000000004</c:v>
                </c:pt>
                <c:pt idx="11">
                  <c:v>4.5</c:v>
                </c:pt>
                <c:pt idx="12">
                  <c:v>4.58</c:v>
                </c:pt>
                <c:pt idx="13">
                  <c:v>3.95</c:v>
                </c:pt>
                <c:pt idx="14">
                  <c:v>3.83</c:v>
                </c:pt>
                <c:pt idx="15">
                  <c:v>3.89</c:v>
                </c:pt>
                <c:pt idx="16">
                  <c:v>4.12</c:v>
                </c:pt>
                <c:pt idx="17">
                  <c:v>3.51</c:v>
                </c:pt>
                <c:pt idx="18">
                  <c:v>3.57</c:v>
                </c:pt>
                <c:pt idx="19">
                  <c:v>4.2</c:v>
                </c:pt>
                <c:pt idx="20">
                  <c:v>3.89</c:v>
                </c:pt>
                <c:pt idx="21">
                  <c:v>4.28</c:v>
                </c:pt>
                <c:pt idx="22">
                  <c:v>4.2699999999999996</c:v>
                </c:pt>
                <c:pt idx="23">
                  <c:v>4.1399999999999997</c:v>
                </c:pt>
                <c:pt idx="24">
                  <c:v>4.1500000000000004</c:v>
                </c:pt>
                <c:pt idx="25">
                  <c:v>4.0599999999999996</c:v>
                </c:pt>
                <c:pt idx="26">
                  <c:v>3.93</c:v>
                </c:pt>
                <c:pt idx="27">
                  <c:v>4</c:v>
                </c:pt>
                <c:pt idx="28">
                  <c:v>4.2</c:v>
                </c:pt>
                <c:pt idx="29">
                  <c:v>3.99</c:v>
                </c:pt>
                <c:pt idx="30">
                  <c:v>4.1399999999999997</c:v>
                </c:pt>
                <c:pt idx="31">
                  <c:v>4.38</c:v>
                </c:pt>
                <c:pt idx="32">
                  <c:v>4.0999999999999996</c:v>
                </c:pt>
                <c:pt idx="33">
                  <c:v>4.04</c:v>
                </c:pt>
                <c:pt idx="34">
                  <c:v>4.42</c:v>
                </c:pt>
                <c:pt idx="35">
                  <c:v>4.5199999999999996</c:v>
                </c:pt>
                <c:pt idx="36">
                  <c:v>3.96</c:v>
                </c:pt>
                <c:pt idx="37">
                  <c:v>4.3099999999999996</c:v>
                </c:pt>
                <c:pt idx="38">
                  <c:v>4.22</c:v>
                </c:pt>
                <c:pt idx="39">
                  <c:v>3.98</c:v>
                </c:pt>
                <c:pt idx="40">
                  <c:v>3.99</c:v>
                </c:pt>
                <c:pt idx="41">
                  <c:v>4</c:v>
                </c:pt>
                <c:pt idx="42">
                  <c:v>4.25</c:v>
                </c:pt>
                <c:pt idx="43">
                  <c:v>4.21</c:v>
                </c:pt>
                <c:pt idx="44">
                  <c:v>4.51</c:v>
                </c:pt>
                <c:pt idx="45">
                  <c:v>4.33</c:v>
                </c:pt>
                <c:pt idx="46">
                  <c:v>4.33</c:v>
                </c:pt>
                <c:pt idx="47">
                  <c:v>4.0999999999999996</c:v>
                </c:pt>
                <c:pt idx="48">
                  <c:v>4.0999999999999996</c:v>
                </c:pt>
                <c:pt idx="49">
                  <c:v>3.99</c:v>
                </c:pt>
                <c:pt idx="50">
                  <c:v>4.3099999999999996</c:v>
                </c:pt>
                <c:pt idx="51">
                  <c:v>4.12</c:v>
                </c:pt>
                <c:pt idx="52">
                  <c:v>3.85</c:v>
                </c:pt>
                <c:pt idx="53">
                  <c:v>3.61</c:v>
                </c:pt>
                <c:pt idx="54">
                  <c:v>4.18</c:v>
                </c:pt>
                <c:pt idx="55">
                  <c:v>3.84</c:v>
                </c:pt>
                <c:pt idx="56">
                  <c:v>3.83</c:v>
                </c:pt>
                <c:pt idx="57">
                  <c:v>3.9</c:v>
                </c:pt>
                <c:pt idx="58">
                  <c:v>3.8</c:v>
                </c:pt>
                <c:pt idx="59">
                  <c:v>4.26</c:v>
                </c:pt>
                <c:pt idx="60">
                  <c:v>4.1500000000000004</c:v>
                </c:pt>
                <c:pt idx="61">
                  <c:v>4.22</c:v>
                </c:pt>
                <c:pt idx="62">
                  <c:v>4.1900000000000004</c:v>
                </c:pt>
                <c:pt idx="63">
                  <c:v>4.12</c:v>
                </c:pt>
                <c:pt idx="64">
                  <c:v>3.97</c:v>
                </c:pt>
                <c:pt idx="65">
                  <c:v>4.2</c:v>
                </c:pt>
                <c:pt idx="66">
                  <c:v>3.89</c:v>
                </c:pt>
                <c:pt idx="67">
                  <c:v>3.74</c:v>
                </c:pt>
                <c:pt idx="68">
                  <c:v>4.21</c:v>
                </c:pt>
                <c:pt idx="69">
                  <c:v>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3F-4971-8541-60FD478FF9B8}"/>
            </c:ext>
          </c:extLst>
        </c:ser>
        <c:ser>
          <c:idx val="1"/>
          <c:order val="1"/>
          <c:tx>
            <c:v>rLength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Summary!$E$2:$E$2000</c:f>
              <c:numCache>
                <c:formatCode>General</c:formatCode>
                <c:ptCount val="1999"/>
                <c:pt idx="0">
                  <c:v>658</c:v>
                </c:pt>
                <c:pt idx="1">
                  <c:v>336</c:v>
                </c:pt>
                <c:pt idx="2">
                  <c:v>275</c:v>
                </c:pt>
                <c:pt idx="3">
                  <c:v>366</c:v>
                </c:pt>
                <c:pt idx="4">
                  <c:v>671</c:v>
                </c:pt>
                <c:pt idx="5">
                  <c:v>248</c:v>
                </c:pt>
                <c:pt idx="6">
                  <c:v>130</c:v>
                </c:pt>
                <c:pt idx="7">
                  <c:v>260</c:v>
                </c:pt>
                <c:pt idx="8">
                  <c:v>489</c:v>
                </c:pt>
                <c:pt idx="9">
                  <c:v>311</c:v>
                </c:pt>
                <c:pt idx="10">
                  <c:v>432</c:v>
                </c:pt>
                <c:pt idx="11">
                  <c:v>448</c:v>
                </c:pt>
                <c:pt idx="12">
                  <c:v>432</c:v>
                </c:pt>
                <c:pt idx="13">
                  <c:v>27</c:v>
                </c:pt>
                <c:pt idx="14">
                  <c:v>139</c:v>
                </c:pt>
                <c:pt idx="15">
                  <c:v>201</c:v>
                </c:pt>
                <c:pt idx="16">
                  <c:v>352</c:v>
                </c:pt>
                <c:pt idx="17">
                  <c:v>215</c:v>
                </c:pt>
                <c:pt idx="18">
                  <c:v>336</c:v>
                </c:pt>
                <c:pt idx="19">
                  <c:v>274</c:v>
                </c:pt>
                <c:pt idx="20">
                  <c:v>286</c:v>
                </c:pt>
                <c:pt idx="21">
                  <c:v>264</c:v>
                </c:pt>
                <c:pt idx="22">
                  <c:v>317</c:v>
                </c:pt>
                <c:pt idx="23">
                  <c:v>304</c:v>
                </c:pt>
                <c:pt idx="24">
                  <c:v>306</c:v>
                </c:pt>
                <c:pt idx="25">
                  <c:v>303</c:v>
                </c:pt>
                <c:pt idx="26">
                  <c:v>180</c:v>
                </c:pt>
                <c:pt idx="27">
                  <c:v>141</c:v>
                </c:pt>
                <c:pt idx="28">
                  <c:v>325</c:v>
                </c:pt>
                <c:pt idx="29">
                  <c:v>268</c:v>
                </c:pt>
                <c:pt idx="30">
                  <c:v>416</c:v>
                </c:pt>
                <c:pt idx="31">
                  <c:v>384</c:v>
                </c:pt>
                <c:pt idx="32">
                  <c:v>635</c:v>
                </c:pt>
                <c:pt idx="33">
                  <c:v>387</c:v>
                </c:pt>
                <c:pt idx="34">
                  <c:v>369</c:v>
                </c:pt>
                <c:pt idx="35">
                  <c:v>1246</c:v>
                </c:pt>
                <c:pt idx="36">
                  <c:v>609</c:v>
                </c:pt>
                <c:pt idx="37">
                  <c:v>416</c:v>
                </c:pt>
                <c:pt idx="38">
                  <c:v>393</c:v>
                </c:pt>
                <c:pt idx="39">
                  <c:v>288</c:v>
                </c:pt>
                <c:pt idx="40">
                  <c:v>272</c:v>
                </c:pt>
                <c:pt idx="41">
                  <c:v>246</c:v>
                </c:pt>
                <c:pt idx="42">
                  <c:v>416</c:v>
                </c:pt>
                <c:pt idx="43">
                  <c:v>224</c:v>
                </c:pt>
                <c:pt idx="44">
                  <c:v>476</c:v>
                </c:pt>
                <c:pt idx="45">
                  <c:v>198</c:v>
                </c:pt>
                <c:pt idx="46">
                  <c:v>448</c:v>
                </c:pt>
                <c:pt idx="47">
                  <c:v>224</c:v>
                </c:pt>
                <c:pt idx="48">
                  <c:v>314</c:v>
                </c:pt>
                <c:pt idx="49">
                  <c:v>238</c:v>
                </c:pt>
                <c:pt idx="50">
                  <c:v>324</c:v>
                </c:pt>
                <c:pt idx="51">
                  <c:v>313</c:v>
                </c:pt>
                <c:pt idx="52">
                  <c:v>162</c:v>
                </c:pt>
                <c:pt idx="53">
                  <c:v>143</c:v>
                </c:pt>
                <c:pt idx="54">
                  <c:v>432</c:v>
                </c:pt>
                <c:pt idx="55">
                  <c:v>541</c:v>
                </c:pt>
                <c:pt idx="56">
                  <c:v>327</c:v>
                </c:pt>
                <c:pt idx="57">
                  <c:v>107</c:v>
                </c:pt>
                <c:pt idx="58">
                  <c:v>277</c:v>
                </c:pt>
                <c:pt idx="59">
                  <c:v>323</c:v>
                </c:pt>
                <c:pt idx="60">
                  <c:v>208</c:v>
                </c:pt>
                <c:pt idx="61">
                  <c:v>216</c:v>
                </c:pt>
                <c:pt idx="62">
                  <c:v>250</c:v>
                </c:pt>
                <c:pt idx="63">
                  <c:v>208</c:v>
                </c:pt>
                <c:pt idx="64">
                  <c:v>249</c:v>
                </c:pt>
                <c:pt idx="65">
                  <c:v>368</c:v>
                </c:pt>
                <c:pt idx="66">
                  <c:v>249</c:v>
                </c:pt>
                <c:pt idx="67">
                  <c:v>281</c:v>
                </c:pt>
                <c:pt idx="68">
                  <c:v>288</c:v>
                </c:pt>
                <c:pt idx="69">
                  <c:v>288</c:v>
                </c:pt>
              </c:numCache>
            </c:numRef>
          </c:xVal>
          <c:yVal>
            <c:numRef>
              <c:f>Summary!$G$2:$G$2000</c:f>
              <c:numCache>
                <c:formatCode>General</c:formatCode>
                <c:ptCount val="1999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5</c:v>
                </c:pt>
                <c:pt idx="17">
                  <c:v>2</c:v>
                </c:pt>
                <c:pt idx="18">
                  <c:v>4</c:v>
                </c:pt>
                <c:pt idx="19">
                  <c:v>5</c:v>
                </c:pt>
                <c:pt idx="20">
                  <c:v>3</c:v>
                </c:pt>
                <c:pt idx="21">
                  <c:v>5</c:v>
                </c:pt>
                <c:pt idx="22">
                  <c:v>3</c:v>
                </c:pt>
                <c:pt idx="23">
                  <c:v>4</c:v>
                </c:pt>
                <c:pt idx="24">
                  <c:v>4</c:v>
                </c:pt>
                <c:pt idx="25">
                  <c:v>3</c:v>
                </c:pt>
                <c:pt idx="26">
                  <c:v>3</c:v>
                </c:pt>
                <c:pt idx="27">
                  <c:v>4</c:v>
                </c:pt>
                <c:pt idx="28">
                  <c:v>3</c:v>
                </c:pt>
                <c:pt idx="29">
                  <c:v>5</c:v>
                </c:pt>
                <c:pt idx="30">
                  <c:v>5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5</c:v>
                </c:pt>
                <c:pt idx="35">
                  <c:v>4</c:v>
                </c:pt>
                <c:pt idx="36">
                  <c:v>3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3</c:v>
                </c:pt>
                <c:pt idx="41">
                  <c:v>3</c:v>
                </c:pt>
                <c:pt idx="42">
                  <c:v>4</c:v>
                </c:pt>
                <c:pt idx="43">
                  <c:v>4</c:v>
                </c:pt>
                <c:pt idx="44">
                  <c:v>5</c:v>
                </c:pt>
                <c:pt idx="45">
                  <c:v>5</c:v>
                </c:pt>
                <c:pt idx="46">
                  <c:v>4</c:v>
                </c:pt>
                <c:pt idx="47">
                  <c:v>5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3</c:v>
                </c:pt>
                <c:pt idx="53">
                  <c:v>3</c:v>
                </c:pt>
                <c:pt idx="54">
                  <c:v>5</c:v>
                </c:pt>
                <c:pt idx="55">
                  <c:v>4</c:v>
                </c:pt>
                <c:pt idx="56">
                  <c:v>4</c:v>
                </c:pt>
                <c:pt idx="57">
                  <c:v>3</c:v>
                </c:pt>
                <c:pt idx="58">
                  <c:v>3</c:v>
                </c:pt>
                <c:pt idx="59">
                  <c:v>4</c:v>
                </c:pt>
                <c:pt idx="60">
                  <c:v>4</c:v>
                </c:pt>
                <c:pt idx="61">
                  <c:v>5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3</c:v>
                </c:pt>
                <c:pt idx="68">
                  <c:v>5</c:v>
                </c:pt>
                <c:pt idx="6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3F-4971-8541-60FD478FF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159104"/>
        <c:axId val="593155504"/>
      </c:scatterChart>
      <c:valAx>
        <c:axId val="59315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155504"/>
        <c:crosses val="autoZero"/>
        <c:crossBetween val="midCat"/>
      </c:valAx>
      <c:valAx>
        <c:axId val="59315550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159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My Rating vs Average</a:t>
            </a:r>
            <a:r>
              <a:rPr lang="en-US" baseline="0"/>
              <a:t> Rating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Summary!$G$1</c:f>
              <c:strCache>
                <c:ptCount val="1"/>
                <c:pt idx="0">
                  <c:v>My Rating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Summary!$F$2:$F$99</c:f>
              <c:numCache>
                <c:formatCode>General</c:formatCode>
                <c:ptCount val="98"/>
                <c:pt idx="0">
                  <c:v>4.28</c:v>
                </c:pt>
                <c:pt idx="1">
                  <c:v>3.89</c:v>
                </c:pt>
                <c:pt idx="2">
                  <c:v>4.0999999999999996</c:v>
                </c:pt>
                <c:pt idx="3">
                  <c:v>4.29</c:v>
                </c:pt>
                <c:pt idx="4">
                  <c:v>4.28</c:v>
                </c:pt>
                <c:pt idx="5">
                  <c:v>3.65</c:v>
                </c:pt>
                <c:pt idx="6">
                  <c:v>3.57</c:v>
                </c:pt>
                <c:pt idx="7">
                  <c:v>3.89</c:v>
                </c:pt>
                <c:pt idx="8">
                  <c:v>3.93</c:v>
                </c:pt>
                <c:pt idx="9">
                  <c:v>4.2300000000000004</c:v>
                </c:pt>
                <c:pt idx="10">
                  <c:v>4.4000000000000004</c:v>
                </c:pt>
                <c:pt idx="11">
                  <c:v>4.5</c:v>
                </c:pt>
                <c:pt idx="12">
                  <c:v>4.58</c:v>
                </c:pt>
                <c:pt idx="13">
                  <c:v>3.95</c:v>
                </c:pt>
                <c:pt idx="14">
                  <c:v>3.83</c:v>
                </c:pt>
                <c:pt idx="15">
                  <c:v>3.89</c:v>
                </c:pt>
                <c:pt idx="16">
                  <c:v>4.12</c:v>
                </c:pt>
                <c:pt idx="17">
                  <c:v>3.51</c:v>
                </c:pt>
                <c:pt idx="18">
                  <c:v>3.57</c:v>
                </c:pt>
                <c:pt idx="19">
                  <c:v>4.2</c:v>
                </c:pt>
                <c:pt idx="20">
                  <c:v>3.89</c:v>
                </c:pt>
                <c:pt idx="21">
                  <c:v>4.28</c:v>
                </c:pt>
                <c:pt idx="22">
                  <c:v>4.2699999999999996</c:v>
                </c:pt>
                <c:pt idx="23">
                  <c:v>4.1399999999999997</c:v>
                </c:pt>
                <c:pt idx="24">
                  <c:v>4.1500000000000004</c:v>
                </c:pt>
                <c:pt idx="25">
                  <c:v>4.0599999999999996</c:v>
                </c:pt>
                <c:pt idx="26">
                  <c:v>3.93</c:v>
                </c:pt>
                <c:pt idx="27">
                  <c:v>4</c:v>
                </c:pt>
                <c:pt idx="28">
                  <c:v>4.2</c:v>
                </c:pt>
                <c:pt idx="29">
                  <c:v>3.99</c:v>
                </c:pt>
                <c:pt idx="30">
                  <c:v>4.1399999999999997</c:v>
                </c:pt>
                <c:pt idx="31">
                  <c:v>4.38</c:v>
                </c:pt>
                <c:pt idx="32">
                  <c:v>4.0999999999999996</c:v>
                </c:pt>
                <c:pt idx="33">
                  <c:v>4.04</c:v>
                </c:pt>
                <c:pt idx="34">
                  <c:v>4.42</c:v>
                </c:pt>
                <c:pt idx="35">
                  <c:v>4.5199999999999996</c:v>
                </c:pt>
                <c:pt idx="36">
                  <c:v>3.96</c:v>
                </c:pt>
                <c:pt idx="37">
                  <c:v>4.3099999999999996</c:v>
                </c:pt>
                <c:pt idx="38">
                  <c:v>4.22</c:v>
                </c:pt>
                <c:pt idx="39">
                  <c:v>3.98</c:v>
                </c:pt>
                <c:pt idx="40">
                  <c:v>3.99</c:v>
                </c:pt>
                <c:pt idx="41">
                  <c:v>4</c:v>
                </c:pt>
                <c:pt idx="42">
                  <c:v>4.25</c:v>
                </c:pt>
                <c:pt idx="43">
                  <c:v>4.21</c:v>
                </c:pt>
                <c:pt idx="44">
                  <c:v>4.51</c:v>
                </c:pt>
                <c:pt idx="45">
                  <c:v>4.33</c:v>
                </c:pt>
                <c:pt idx="46">
                  <c:v>4.33</c:v>
                </c:pt>
                <c:pt idx="47">
                  <c:v>4.0999999999999996</c:v>
                </c:pt>
                <c:pt idx="48">
                  <c:v>4.0999999999999996</c:v>
                </c:pt>
                <c:pt idx="49">
                  <c:v>3.99</c:v>
                </c:pt>
                <c:pt idx="50">
                  <c:v>4.3099999999999996</c:v>
                </c:pt>
                <c:pt idx="51">
                  <c:v>4.12</c:v>
                </c:pt>
                <c:pt idx="52">
                  <c:v>3.85</c:v>
                </c:pt>
                <c:pt idx="53">
                  <c:v>3.61</c:v>
                </c:pt>
                <c:pt idx="54">
                  <c:v>4.18</c:v>
                </c:pt>
                <c:pt idx="55">
                  <c:v>3.84</c:v>
                </c:pt>
                <c:pt idx="56">
                  <c:v>3.83</c:v>
                </c:pt>
                <c:pt idx="57">
                  <c:v>3.9</c:v>
                </c:pt>
                <c:pt idx="58">
                  <c:v>3.8</c:v>
                </c:pt>
                <c:pt idx="59">
                  <c:v>4.26</c:v>
                </c:pt>
                <c:pt idx="60">
                  <c:v>4.1500000000000004</c:v>
                </c:pt>
                <c:pt idx="61">
                  <c:v>4.22</c:v>
                </c:pt>
                <c:pt idx="62">
                  <c:v>4.1900000000000004</c:v>
                </c:pt>
                <c:pt idx="63">
                  <c:v>4.12</c:v>
                </c:pt>
                <c:pt idx="64">
                  <c:v>3.97</c:v>
                </c:pt>
                <c:pt idx="65">
                  <c:v>4.2</c:v>
                </c:pt>
                <c:pt idx="66">
                  <c:v>3.89</c:v>
                </c:pt>
                <c:pt idx="67">
                  <c:v>3.74</c:v>
                </c:pt>
                <c:pt idx="68">
                  <c:v>4.21</c:v>
                </c:pt>
                <c:pt idx="69">
                  <c:v>3.9</c:v>
                </c:pt>
              </c:numCache>
            </c:numRef>
          </c:xVal>
          <c:yVal>
            <c:numRef>
              <c:f>Summary!$G$2:$G$99</c:f>
              <c:numCache>
                <c:formatCode>General</c:formatCode>
                <c:ptCount val="98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5</c:v>
                </c:pt>
                <c:pt idx="17">
                  <c:v>2</c:v>
                </c:pt>
                <c:pt idx="18">
                  <c:v>4</c:v>
                </c:pt>
                <c:pt idx="19">
                  <c:v>5</c:v>
                </c:pt>
                <c:pt idx="20">
                  <c:v>3</c:v>
                </c:pt>
                <c:pt idx="21">
                  <c:v>5</c:v>
                </c:pt>
                <c:pt idx="22">
                  <c:v>3</c:v>
                </c:pt>
                <c:pt idx="23">
                  <c:v>4</c:v>
                </c:pt>
                <c:pt idx="24">
                  <c:v>4</c:v>
                </c:pt>
                <c:pt idx="25">
                  <c:v>3</c:v>
                </c:pt>
                <c:pt idx="26">
                  <c:v>3</c:v>
                </c:pt>
                <c:pt idx="27">
                  <c:v>4</c:v>
                </c:pt>
                <c:pt idx="28">
                  <c:v>3</c:v>
                </c:pt>
                <c:pt idx="29">
                  <c:v>5</c:v>
                </c:pt>
                <c:pt idx="30">
                  <c:v>5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5</c:v>
                </c:pt>
                <c:pt idx="35">
                  <c:v>4</c:v>
                </c:pt>
                <c:pt idx="36">
                  <c:v>3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3</c:v>
                </c:pt>
                <c:pt idx="41">
                  <c:v>3</c:v>
                </c:pt>
                <c:pt idx="42">
                  <c:v>4</c:v>
                </c:pt>
                <c:pt idx="43">
                  <c:v>4</c:v>
                </c:pt>
                <c:pt idx="44">
                  <c:v>5</c:v>
                </c:pt>
                <c:pt idx="45">
                  <c:v>5</c:v>
                </c:pt>
                <c:pt idx="46">
                  <c:v>4</c:v>
                </c:pt>
                <c:pt idx="47">
                  <c:v>5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3</c:v>
                </c:pt>
                <c:pt idx="53">
                  <c:v>3</c:v>
                </c:pt>
                <c:pt idx="54">
                  <c:v>5</c:v>
                </c:pt>
                <c:pt idx="55">
                  <c:v>4</c:v>
                </c:pt>
                <c:pt idx="56">
                  <c:v>4</c:v>
                </c:pt>
                <c:pt idx="57">
                  <c:v>3</c:v>
                </c:pt>
                <c:pt idx="58">
                  <c:v>3</c:v>
                </c:pt>
                <c:pt idx="59">
                  <c:v>4</c:v>
                </c:pt>
                <c:pt idx="60">
                  <c:v>4</c:v>
                </c:pt>
                <c:pt idx="61">
                  <c:v>5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3</c:v>
                </c:pt>
                <c:pt idx="68">
                  <c:v>5</c:v>
                </c:pt>
                <c:pt idx="6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DE-442A-A2B4-5D9033876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447080"/>
        <c:axId val="591715968"/>
      </c:scatterChart>
      <c:valAx>
        <c:axId val="592447080"/>
        <c:scaling>
          <c:orientation val="minMax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715968"/>
        <c:crosses val="autoZero"/>
        <c:crossBetween val="midCat"/>
      </c:valAx>
      <c:valAx>
        <c:axId val="591715968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My 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44708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Pages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Summary!$E$1</c:f>
              <c:strCache>
                <c:ptCount val="1"/>
                <c:pt idx="0">
                  <c:v>Pages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Summary!$D$2:$D$999</c:f>
              <c:numCache>
                <c:formatCode>General</c:formatCode>
                <c:ptCount val="998"/>
                <c:pt idx="0">
                  <c:v>1965</c:v>
                </c:pt>
                <c:pt idx="1">
                  <c:v>1969</c:v>
                </c:pt>
                <c:pt idx="2">
                  <c:v>1969</c:v>
                </c:pt>
                <c:pt idx="3">
                  <c:v>1937</c:v>
                </c:pt>
                <c:pt idx="4">
                  <c:v>1866</c:v>
                </c:pt>
                <c:pt idx="5">
                  <c:v>2021</c:v>
                </c:pt>
                <c:pt idx="6">
                  <c:v>1979</c:v>
                </c:pt>
                <c:pt idx="7">
                  <c:v>1818</c:v>
                </c:pt>
                <c:pt idx="8">
                  <c:v>2003</c:v>
                </c:pt>
                <c:pt idx="9">
                  <c:v>1958</c:v>
                </c:pt>
                <c:pt idx="10">
                  <c:v>1954</c:v>
                </c:pt>
                <c:pt idx="11">
                  <c:v>1954</c:v>
                </c:pt>
                <c:pt idx="12">
                  <c:v>1955</c:v>
                </c:pt>
                <c:pt idx="13">
                  <c:v>1924</c:v>
                </c:pt>
                <c:pt idx="14">
                  <c:v>1886</c:v>
                </c:pt>
                <c:pt idx="15">
                  <c:v>1915</c:v>
                </c:pt>
                <c:pt idx="16">
                  <c:v>1937</c:v>
                </c:pt>
                <c:pt idx="17">
                  <c:v>1980</c:v>
                </c:pt>
                <c:pt idx="18">
                  <c:v>1969</c:v>
                </c:pt>
                <c:pt idx="19">
                  <c:v>1934</c:v>
                </c:pt>
                <c:pt idx="20">
                  <c:v>2023</c:v>
                </c:pt>
                <c:pt idx="21">
                  <c:v>1939</c:v>
                </c:pt>
                <c:pt idx="22">
                  <c:v>2003</c:v>
                </c:pt>
                <c:pt idx="23">
                  <c:v>2014</c:v>
                </c:pt>
                <c:pt idx="24">
                  <c:v>1963</c:v>
                </c:pt>
                <c:pt idx="25">
                  <c:v>1973</c:v>
                </c:pt>
                <c:pt idx="26">
                  <c:v>1925</c:v>
                </c:pt>
                <c:pt idx="27">
                  <c:v>1945</c:v>
                </c:pt>
                <c:pt idx="28">
                  <c:v>1963</c:v>
                </c:pt>
                <c:pt idx="29">
                  <c:v>1932</c:v>
                </c:pt>
                <c:pt idx="30">
                  <c:v>2023</c:v>
                </c:pt>
                <c:pt idx="31">
                  <c:v>2018</c:v>
                </c:pt>
                <c:pt idx="32">
                  <c:v>2001</c:v>
                </c:pt>
                <c:pt idx="33">
                  <c:v>2006</c:v>
                </c:pt>
                <c:pt idx="34">
                  <c:v>2014</c:v>
                </c:pt>
                <c:pt idx="35">
                  <c:v>1974</c:v>
                </c:pt>
                <c:pt idx="36">
                  <c:v>1976</c:v>
                </c:pt>
                <c:pt idx="37">
                  <c:v>2011</c:v>
                </c:pt>
                <c:pt idx="38">
                  <c:v>2018</c:v>
                </c:pt>
                <c:pt idx="39">
                  <c:v>2020</c:v>
                </c:pt>
                <c:pt idx="40">
                  <c:v>1974</c:v>
                </c:pt>
                <c:pt idx="41">
                  <c:v>2019</c:v>
                </c:pt>
                <c:pt idx="42">
                  <c:v>2017</c:v>
                </c:pt>
                <c:pt idx="43">
                  <c:v>1950</c:v>
                </c:pt>
                <c:pt idx="44">
                  <c:v>2021</c:v>
                </c:pt>
                <c:pt idx="45">
                  <c:v>2025</c:v>
                </c:pt>
                <c:pt idx="46">
                  <c:v>2019</c:v>
                </c:pt>
                <c:pt idx="47">
                  <c:v>2021</c:v>
                </c:pt>
                <c:pt idx="48">
                  <c:v>2019</c:v>
                </c:pt>
                <c:pt idx="49">
                  <c:v>1937</c:v>
                </c:pt>
                <c:pt idx="50">
                  <c:v>1985</c:v>
                </c:pt>
                <c:pt idx="51">
                  <c:v>2012</c:v>
                </c:pt>
                <c:pt idx="52">
                  <c:v>1959</c:v>
                </c:pt>
                <c:pt idx="53">
                  <c:v>1953</c:v>
                </c:pt>
                <c:pt idx="54">
                  <c:v>2012</c:v>
                </c:pt>
                <c:pt idx="55">
                  <c:v>801</c:v>
                </c:pt>
                <c:pt idx="56">
                  <c:v>1885</c:v>
                </c:pt>
                <c:pt idx="57">
                  <c:v>1937</c:v>
                </c:pt>
                <c:pt idx="58">
                  <c:v>1951</c:v>
                </c:pt>
                <c:pt idx="59">
                  <c:v>1960</c:v>
                </c:pt>
                <c:pt idx="60">
                  <c:v>1967</c:v>
                </c:pt>
                <c:pt idx="61">
                  <c:v>1979</c:v>
                </c:pt>
                <c:pt idx="62">
                  <c:v>1980</c:v>
                </c:pt>
                <c:pt idx="63">
                  <c:v>1993</c:v>
                </c:pt>
                <c:pt idx="64">
                  <c:v>1953</c:v>
                </c:pt>
                <c:pt idx="65">
                  <c:v>1948</c:v>
                </c:pt>
                <c:pt idx="66">
                  <c:v>1623</c:v>
                </c:pt>
                <c:pt idx="67">
                  <c:v>1590</c:v>
                </c:pt>
                <c:pt idx="68">
                  <c:v>1936</c:v>
                </c:pt>
                <c:pt idx="69">
                  <c:v>1976</c:v>
                </c:pt>
              </c:numCache>
            </c:numRef>
          </c:xVal>
          <c:yVal>
            <c:numRef>
              <c:f>Summary!$E$2:$E$999</c:f>
              <c:numCache>
                <c:formatCode>General</c:formatCode>
                <c:ptCount val="998"/>
                <c:pt idx="0">
                  <c:v>658</c:v>
                </c:pt>
                <c:pt idx="1">
                  <c:v>336</c:v>
                </c:pt>
                <c:pt idx="2">
                  <c:v>275</c:v>
                </c:pt>
                <c:pt idx="3">
                  <c:v>366</c:v>
                </c:pt>
                <c:pt idx="4">
                  <c:v>671</c:v>
                </c:pt>
                <c:pt idx="5">
                  <c:v>248</c:v>
                </c:pt>
                <c:pt idx="6">
                  <c:v>130</c:v>
                </c:pt>
                <c:pt idx="7">
                  <c:v>260</c:v>
                </c:pt>
                <c:pt idx="8">
                  <c:v>489</c:v>
                </c:pt>
                <c:pt idx="9">
                  <c:v>311</c:v>
                </c:pt>
                <c:pt idx="10">
                  <c:v>432</c:v>
                </c:pt>
                <c:pt idx="11">
                  <c:v>448</c:v>
                </c:pt>
                <c:pt idx="12">
                  <c:v>432</c:v>
                </c:pt>
                <c:pt idx="13">
                  <c:v>27</c:v>
                </c:pt>
                <c:pt idx="14">
                  <c:v>139</c:v>
                </c:pt>
                <c:pt idx="15">
                  <c:v>201</c:v>
                </c:pt>
                <c:pt idx="16">
                  <c:v>352</c:v>
                </c:pt>
                <c:pt idx="17">
                  <c:v>215</c:v>
                </c:pt>
                <c:pt idx="18">
                  <c:v>336</c:v>
                </c:pt>
                <c:pt idx="19">
                  <c:v>274</c:v>
                </c:pt>
                <c:pt idx="20">
                  <c:v>286</c:v>
                </c:pt>
                <c:pt idx="21">
                  <c:v>264</c:v>
                </c:pt>
                <c:pt idx="22">
                  <c:v>317</c:v>
                </c:pt>
                <c:pt idx="23">
                  <c:v>304</c:v>
                </c:pt>
                <c:pt idx="24">
                  <c:v>306</c:v>
                </c:pt>
                <c:pt idx="25">
                  <c:v>303</c:v>
                </c:pt>
                <c:pt idx="26">
                  <c:v>180</c:v>
                </c:pt>
                <c:pt idx="27">
                  <c:v>141</c:v>
                </c:pt>
                <c:pt idx="28">
                  <c:v>325</c:v>
                </c:pt>
                <c:pt idx="29">
                  <c:v>268</c:v>
                </c:pt>
                <c:pt idx="30">
                  <c:v>416</c:v>
                </c:pt>
                <c:pt idx="31">
                  <c:v>384</c:v>
                </c:pt>
                <c:pt idx="32">
                  <c:v>635</c:v>
                </c:pt>
                <c:pt idx="33">
                  <c:v>387</c:v>
                </c:pt>
                <c:pt idx="34">
                  <c:v>369</c:v>
                </c:pt>
                <c:pt idx="35">
                  <c:v>1246</c:v>
                </c:pt>
                <c:pt idx="36">
                  <c:v>609</c:v>
                </c:pt>
                <c:pt idx="37">
                  <c:v>416</c:v>
                </c:pt>
                <c:pt idx="38">
                  <c:v>393</c:v>
                </c:pt>
                <c:pt idx="39">
                  <c:v>288</c:v>
                </c:pt>
                <c:pt idx="40">
                  <c:v>272</c:v>
                </c:pt>
                <c:pt idx="41">
                  <c:v>246</c:v>
                </c:pt>
                <c:pt idx="42">
                  <c:v>416</c:v>
                </c:pt>
                <c:pt idx="43">
                  <c:v>224</c:v>
                </c:pt>
                <c:pt idx="44">
                  <c:v>476</c:v>
                </c:pt>
                <c:pt idx="45">
                  <c:v>198</c:v>
                </c:pt>
                <c:pt idx="46">
                  <c:v>448</c:v>
                </c:pt>
                <c:pt idx="47">
                  <c:v>224</c:v>
                </c:pt>
                <c:pt idx="48">
                  <c:v>314</c:v>
                </c:pt>
                <c:pt idx="49">
                  <c:v>238</c:v>
                </c:pt>
                <c:pt idx="50">
                  <c:v>324</c:v>
                </c:pt>
                <c:pt idx="51">
                  <c:v>313</c:v>
                </c:pt>
                <c:pt idx="52">
                  <c:v>162</c:v>
                </c:pt>
                <c:pt idx="53">
                  <c:v>143</c:v>
                </c:pt>
                <c:pt idx="54">
                  <c:v>432</c:v>
                </c:pt>
                <c:pt idx="55">
                  <c:v>541</c:v>
                </c:pt>
                <c:pt idx="56">
                  <c:v>327</c:v>
                </c:pt>
                <c:pt idx="57">
                  <c:v>107</c:v>
                </c:pt>
                <c:pt idx="58">
                  <c:v>277</c:v>
                </c:pt>
                <c:pt idx="59">
                  <c:v>323</c:v>
                </c:pt>
                <c:pt idx="60">
                  <c:v>208</c:v>
                </c:pt>
                <c:pt idx="61">
                  <c:v>216</c:v>
                </c:pt>
                <c:pt idx="62">
                  <c:v>250</c:v>
                </c:pt>
                <c:pt idx="63">
                  <c:v>208</c:v>
                </c:pt>
                <c:pt idx="64">
                  <c:v>249</c:v>
                </c:pt>
                <c:pt idx="65">
                  <c:v>368</c:v>
                </c:pt>
                <c:pt idx="66">
                  <c:v>249</c:v>
                </c:pt>
                <c:pt idx="67">
                  <c:v>281</c:v>
                </c:pt>
                <c:pt idx="68">
                  <c:v>288</c:v>
                </c:pt>
                <c:pt idx="69">
                  <c:v>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9F-4EC8-9573-7C5546B12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957944"/>
        <c:axId val="682959024"/>
      </c:scatterChart>
      <c:valAx>
        <c:axId val="682957944"/>
        <c:scaling>
          <c:orientation val="minMax"/>
          <c:max val="2030"/>
          <c:min val="1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Release</a:t>
                </a:r>
                <a:r>
                  <a:rPr lang="en-US" baseline="0"/>
                  <a:t>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959024"/>
        <c:crosses val="autoZero"/>
        <c:crossBetween val="midCat"/>
      </c:valAx>
      <c:valAx>
        <c:axId val="68295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Page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957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My Rating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Summary!$L$15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Summary!$K$16:$K$20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Summary!$L$16:$L$20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16</c:v>
                </c:pt>
                <c:pt idx="3">
                  <c:v>31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DF-4506-A655-8FFA5B952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6661352"/>
        <c:axId val="1186657752"/>
      </c:barChart>
      <c:catAx>
        <c:axId val="1186661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657752"/>
        <c:crosses val="autoZero"/>
        <c:auto val="1"/>
        <c:lblAlgn val="ctr"/>
        <c:lblOffset val="100"/>
        <c:noMultiLvlLbl val="0"/>
      </c:catAx>
      <c:valAx>
        <c:axId val="1186657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661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Books by Year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Books by Year</a:t>
          </a:r>
        </a:p>
      </cx:txPr>
    </cx:title>
    <cx:plotArea>
      <cx:plotAreaRegion>
        <cx:series layoutId="clusteredColumn" uniqueId="{C5ADFB95-C2BC-4918-8E8A-320F505FE416}">
          <cx:tx>
            <cx:txData>
              <cx:f>_xlchart.v1.2</cx:f>
              <cx:v>Release</cx:v>
            </cx:txData>
          </cx:tx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Pages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Pages</a:t>
          </a:r>
        </a:p>
      </cx:txPr>
    </cx:title>
    <cx:plotArea>
      <cx:plotAreaRegion>
        <cx:series layoutId="clusteredColumn" uniqueId="{D258C634-6721-405D-806B-9C91370D943D}">
          <cx:tx>
            <cx:txData>
              <cx:f>_xlchart.v1.0</cx:f>
              <cx:v>Pages</cx:v>
            </cx:txData>
          </cx:tx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Avg Rating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Avg Rating</a:t>
          </a:r>
        </a:p>
      </cx:txPr>
    </cx:title>
    <cx:plotArea>
      <cx:plotAreaRegion>
        <cx:series layoutId="clusteredColumn" uniqueId="{B108842D-A4AF-4E99-B71E-7044D5B74BEE}">
          <cx:tx>
            <cx:txData>
              <cx:f>_xlchart.v1.4</cx:f>
              <cx:v>Avg Rating</cx:v>
            </cx:txData>
          </cx:tx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microsoft.com/office/2014/relationships/chartEx" Target="../charts/chartEx1.xml"/><Relationship Id="rId7" Type="http://schemas.openxmlformats.org/officeDocument/2006/relationships/chart" Target="../charts/chart4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microsoft.com/office/2014/relationships/chartEx" Target="../charts/chartEx3.xml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485775</xdr:colOff>
      <xdr:row>14</xdr:row>
      <xdr:rowOff>166687</xdr:rowOff>
    </xdr:from>
    <xdr:to>
      <xdr:col>16</xdr:col>
      <xdr:colOff>180975</xdr:colOff>
      <xdr:row>29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4B4859-4CD9-954D-3A9E-D30D2D0F53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219075</xdr:colOff>
      <xdr:row>14</xdr:row>
      <xdr:rowOff>171450</xdr:rowOff>
    </xdr:from>
    <xdr:to>
      <xdr:col>21</xdr:col>
      <xdr:colOff>76200</xdr:colOff>
      <xdr:row>29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5C1B94-C74E-4D6C-921B-D1AE7061C3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252412</xdr:colOff>
      <xdr:row>43</xdr:row>
      <xdr:rowOff>157162</xdr:rowOff>
    </xdr:from>
    <xdr:to>
      <xdr:col>21</xdr:col>
      <xdr:colOff>109537</xdr:colOff>
      <xdr:row>58</xdr:row>
      <xdr:rowOff>42862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8DC84615-5D2A-F91F-F1C1-B7C45F8F90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15987" y="83486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471487</xdr:colOff>
      <xdr:row>43</xdr:row>
      <xdr:rowOff>176212</xdr:rowOff>
    </xdr:from>
    <xdr:to>
      <xdr:col>16</xdr:col>
      <xdr:colOff>166687</xdr:colOff>
      <xdr:row>58</xdr:row>
      <xdr:rowOff>61912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79A90009-0195-6E33-D419-96B233C1F8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58262" y="83677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461962</xdr:colOff>
      <xdr:row>58</xdr:row>
      <xdr:rowOff>80962</xdr:rowOff>
    </xdr:from>
    <xdr:to>
      <xdr:col>16</xdr:col>
      <xdr:colOff>157162</xdr:colOff>
      <xdr:row>72</xdr:row>
      <xdr:rowOff>157162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6097F34F-E6B6-89CC-6029-791861716D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48737" y="111299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485775</xdr:colOff>
      <xdr:row>29</xdr:row>
      <xdr:rowOff>80962</xdr:rowOff>
    </xdr:from>
    <xdr:to>
      <xdr:col>16</xdr:col>
      <xdr:colOff>180975</xdr:colOff>
      <xdr:row>43</xdr:row>
      <xdr:rowOff>157162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E0B228C-596A-BAB0-7203-BBC494C391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238125</xdr:colOff>
      <xdr:row>29</xdr:row>
      <xdr:rowOff>61912</xdr:rowOff>
    </xdr:from>
    <xdr:to>
      <xdr:col>21</xdr:col>
      <xdr:colOff>95250</xdr:colOff>
      <xdr:row>43</xdr:row>
      <xdr:rowOff>138112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09F7728-D0FB-4F60-11C3-1F2BCFFA3F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233362</xdr:colOff>
      <xdr:row>58</xdr:row>
      <xdr:rowOff>61912</xdr:rowOff>
    </xdr:from>
    <xdr:to>
      <xdr:col>21</xdr:col>
      <xdr:colOff>90487</xdr:colOff>
      <xdr:row>72</xdr:row>
      <xdr:rowOff>138112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EF95A62-9E93-95C5-99A3-EDAFD9C47A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72FA-2CB5-4429-886F-2E932884147D}">
  <sheetPr codeName="Sheet3"/>
  <dimension ref="B1:K10"/>
  <sheetViews>
    <sheetView workbookViewId="0">
      <selection activeCell="G1" sqref="G1:G10"/>
    </sheetView>
  </sheetViews>
  <sheetFormatPr defaultRowHeight="15" x14ac:dyDescent="0.25"/>
  <cols>
    <col min="2" max="2" width="30.140625" bestFit="1" customWidth="1"/>
    <col min="10" max="10" width="17" bestFit="1" customWidth="1"/>
  </cols>
  <sheetData>
    <row r="1" spans="2:11" x14ac:dyDescent="0.25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81</v>
      </c>
    </row>
    <row r="2" spans="2:11" x14ac:dyDescent="0.25">
      <c r="B2" t="s">
        <v>39</v>
      </c>
      <c r="C2">
        <v>1965</v>
      </c>
      <c r="D2">
        <v>658</v>
      </c>
      <c r="E2">
        <v>4.28</v>
      </c>
      <c r="F2">
        <v>5</v>
      </c>
      <c r="G2" t="s">
        <v>82</v>
      </c>
      <c r="J2" t="s">
        <v>12</v>
      </c>
    </row>
    <row r="3" spans="2:11" x14ac:dyDescent="0.25">
      <c r="B3" t="s">
        <v>40</v>
      </c>
      <c r="C3">
        <v>1969</v>
      </c>
      <c r="D3">
        <v>336</v>
      </c>
      <c r="E3">
        <v>3.89</v>
      </c>
      <c r="F3">
        <v>4</v>
      </c>
      <c r="G3" t="s">
        <v>82</v>
      </c>
      <c r="J3" t="s">
        <v>13</v>
      </c>
      <c r="K3">
        <f>COUNTIF(B2:B31, "&lt;&gt;")</f>
        <v>9</v>
      </c>
    </row>
    <row r="4" spans="2:11" x14ac:dyDescent="0.25">
      <c r="B4" t="s">
        <v>41</v>
      </c>
      <c r="C4">
        <v>1969</v>
      </c>
      <c r="D4">
        <v>275</v>
      </c>
      <c r="E4">
        <v>4.0999999999999996</v>
      </c>
      <c r="F4">
        <v>5</v>
      </c>
      <c r="G4" t="s">
        <v>83</v>
      </c>
      <c r="J4" t="s">
        <v>14</v>
      </c>
      <c r="K4">
        <f>SUM(D2:D31)</f>
        <v>3433</v>
      </c>
    </row>
    <row r="5" spans="2:11" x14ac:dyDescent="0.25">
      <c r="B5" t="s">
        <v>42</v>
      </c>
      <c r="C5">
        <v>1937</v>
      </c>
      <c r="D5">
        <v>366</v>
      </c>
      <c r="E5">
        <v>4.29</v>
      </c>
      <c r="F5">
        <v>5</v>
      </c>
      <c r="G5" t="s">
        <v>84</v>
      </c>
      <c r="J5" t="s">
        <v>15</v>
      </c>
      <c r="K5">
        <f>K4/K3</f>
        <v>381.44444444444446</v>
      </c>
    </row>
    <row r="6" spans="2:11" x14ac:dyDescent="0.25">
      <c r="B6" t="s">
        <v>43</v>
      </c>
      <c r="C6">
        <v>1866</v>
      </c>
      <c r="D6">
        <v>671</v>
      </c>
      <c r="E6">
        <v>4.28</v>
      </c>
      <c r="F6">
        <v>4</v>
      </c>
      <c r="G6" t="s">
        <v>85</v>
      </c>
      <c r="J6" t="s">
        <v>16</v>
      </c>
      <c r="K6">
        <f>AVERAGE(C2:C31)</f>
        <v>1947.4444444444443</v>
      </c>
    </row>
    <row r="7" spans="2:11" x14ac:dyDescent="0.25">
      <c r="B7" t="s">
        <v>44</v>
      </c>
      <c r="C7">
        <v>2021</v>
      </c>
      <c r="D7">
        <v>248</v>
      </c>
      <c r="E7">
        <v>3.65</v>
      </c>
      <c r="F7">
        <v>4</v>
      </c>
      <c r="G7" t="s">
        <v>86</v>
      </c>
      <c r="J7" t="s">
        <v>17</v>
      </c>
      <c r="K7" cm="1">
        <f t="array" ref="K7">SUM(C2:C31*D2:D31)/K4</f>
        <v>1942.23186717157</v>
      </c>
    </row>
    <row r="8" spans="2:11" x14ac:dyDescent="0.25">
      <c r="B8" t="s">
        <v>45</v>
      </c>
      <c r="C8">
        <v>1979</v>
      </c>
      <c r="D8">
        <v>130</v>
      </c>
      <c r="E8">
        <v>3.57</v>
      </c>
      <c r="F8">
        <v>3</v>
      </c>
      <c r="G8" t="s">
        <v>83</v>
      </c>
      <c r="J8" t="s">
        <v>18</v>
      </c>
      <c r="K8">
        <f>AVERAGE(E2:E31)</f>
        <v>3.9866666666666668</v>
      </c>
    </row>
    <row r="9" spans="2:11" x14ac:dyDescent="0.25">
      <c r="B9" t="s">
        <v>46</v>
      </c>
      <c r="C9">
        <v>1818</v>
      </c>
      <c r="D9">
        <v>260</v>
      </c>
      <c r="E9">
        <v>3.89</v>
      </c>
      <c r="F9">
        <v>5</v>
      </c>
      <c r="G9" t="s">
        <v>85</v>
      </c>
      <c r="J9" t="s">
        <v>19</v>
      </c>
      <c r="K9">
        <f>AVERAGE(F2:F31)</f>
        <v>4.333333333333333</v>
      </c>
    </row>
    <row r="10" spans="2:11" x14ac:dyDescent="0.25">
      <c r="B10" t="s">
        <v>47</v>
      </c>
      <c r="C10">
        <v>2003</v>
      </c>
      <c r="D10">
        <v>489</v>
      </c>
      <c r="E10">
        <v>3.93</v>
      </c>
      <c r="F10">
        <v>4</v>
      </c>
      <c r="G10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E1649-2A13-46BF-86D9-684064DEB2EC}">
  <sheetPr codeName="Sheet1"/>
  <dimension ref="B1:K20"/>
  <sheetViews>
    <sheetView workbookViewId="0">
      <selection activeCell="G2" sqref="G2:G20"/>
    </sheetView>
  </sheetViews>
  <sheetFormatPr defaultRowHeight="15" x14ac:dyDescent="0.25"/>
  <cols>
    <col min="2" max="2" width="26.7109375" bestFit="1" customWidth="1"/>
    <col min="10" max="10" width="17" bestFit="1" customWidth="1"/>
  </cols>
  <sheetData>
    <row r="1" spans="2:11" x14ac:dyDescent="0.25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81</v>
      </c>
    </row>
    <row r="2" spans="2:11" x14ac:dyDescent="0.25">
      <c r="B2" t="s">
        <v>20</v>
      </c>
      <c r="C2">
        <v>1958</v>
      </c>
      <c r="D2">
        <v>311</v>
      </c>
      <c r="E2">
        <v>4.2300000000000004</v>
      </c>
      <c r="F2">
        <v>5</v>
      </c>
      <c r="G2" t="s">
        <v>83</v>
      </c>
      <c r="J2" t="s">
        <v>12</v>
      </c>
    </row>
    <row r="3" spans="2:11" x14ac:dyDescent="0.25">
      <c r="B3" t="s">
        <v>21</v>
      </c>
      <c r="C3">
        <v>1954</v>
      </c>
      <c r="D3">
        <v>432</v>
      </c>
      <c r="E3">
        <v>4.4000000000000004</v>
      </c>
      <c r="F3">
        <v>5</v>
      </c>
      <c r="G3" t="s">
        <v>84</v>
      </c>
      <c r="J3" t="s">
        <v>13</v>
      </c>
      <c r="K3">
        <f>COUNTIF(B2:B31, "&lt;&gt;")</f>
        <v>19</v>
      </c>
    </row>
    <row r="4" spans="2:11" x14ac:dyDescent="0.25">
      <c r="B4" t="s">
        <v>22</v>
      </c>
      <c r="C4">
        <v>1954</v>
      </c>
      <c r="D4">
        <v>448</v>
      </c>
      <c r="E4">
        <v>4.5</v>
      </c>
      <c r="F4">
        <v>5</v>
      </c>
      <c r="G4" t="s">
        <v>84</v>
      </c>
      <c r="J4" t="s">
        <v>14</v>
      </c>
      <c r="K4">
        <f>SUM(D2:D31)</f>
        <v>5268</v>
      </c>
    </row>
    <row r="5" spans="2:11" x14ac:dyDescent="0.25">
      <c r="B5" t="s">
        <v>23</v>
      </c>
      <c r="C5">
        <v>1955</v>
      </c>
      <c r="D5">
        <v>432</v>
      </c>
      <c r="E5">
        <v>4.58</v>
      </c>
      <c r="F5">
        <v>5</v>
      </c>
      <c r="G5" t="s">
        <v>84</v>
      </c>
      <c r="J5" t="s">
        <v>15</v>
      </c>
      <c r="K5">
        <f>K4/K3</f>
        <v>277.26315789473682</v>
      </c>
    </row>
    <row r="6" spans="2:11" x14ac:dyDescent="0.25">
      <c r="B6" t="s">
        <v>24</v>
      </c>
      <c r="C6">
        <v>1924</v>
      </c>
      <c r="D6">
        <v>27</v>
      </c>
      <c r="E6">
        <v>3.95</v>
      </c>
      <c r="F6">
        <v>3</v>
      </c>
      <c r="G6" t="s">
        <v>85</v>
      </c>
      <c r="J6" t="s">
        <v>16</v>
      </c>
      <c r="K6">
        <f>AVERAGE(C2:C31)</f>
        <v>1955.3157894736842</v>
      </c>
    </row>
    <row r="7" spans="2:11" x14ac:dyDescent="0.25">
      <c r="B7" t="s">
        <v>25</v>
      </c>
      <c r="C7">
        <v>1886</v>
      </c>
      <c r="D7">
        <v>139</v>
      </c>
      <c r="E7">
        <v>3.83</v>
      </c>
      <c r="F7">
        <v>2</v>
      </c>
      <c r="G7" t="s">
        <v>85</v>
      </c>
      <c r="J7" t="s">
        <v>17</v>
      </c>
      <c r="K7" cm="1">
        <f t="array" ref="K7">SUM(C2:C31*D2:D31)/K4</f>
        <v>1960.5129081245254</v>
      </c>
    </row>
    <row r="8" spans="2:11" x14ac:dyDescent="0.25">
      <c r="B8" t="s">
        <v>38</v>
      </c>
      <c r="C8">
        <v>1915</v>
      </c>
      <c r="D8">
        <v>201</v>
      </c>
      <c r="E8">
        <v>3.89</v>
      </c>
      <c r="F8">
        <v>3</v>
      </c>
      <c r="G8" t="s">
        <v>85</v>
      </c>
      <c r="J8" t="s">
        <v>18</v>
      </c>
      <c r="K8">
        <f>AVERAGE(E2:E31)</f>
        <v>4.0789473684210531</v>
      </c>
    </row>
    <row r="9" spans="2:11" x14ac:dyDescent="0.25">
      <c r="B9" t="s">
        <v>26</v>
      </c>
      <c r="C9">
        <v>1937</v>
      </c>
      <c r="D9">
        <v>352</v>
      </c>
      <c r="E9">
        <v>4.12</v>
      </c>
      <c r="F9">
        <v>5</v>
      </c>
      <c r="G9" t="s">
        <v>87</v>
      </c>
      <c r="J9" t="s">
        <v>19</v>
      </c>
      <c r="K9">
        <f>AVERAGE(F2:F31)</f>
        <v>3.8421052631578947</v>
      </c>
    </row>
    <row r="10" spans="2:11" x14ac:dyDescent="0.25">
      <c r="B10" t="s">
        <v>27</v>
      </c>
      <c r="C10">
        <v>1980</v>
      </c>
      <c r="D10">
        <v>215</v>
      </c>
      <c r="E10">
        <v>3.51</v>
      </c>
      <c r="F10">
        <v>2</v>
      </c>
      <c r="G10" t="s">
        <v>83</v>
      </c>
    </row>
    <row r="11" spans="2:11" x14ac:dyDescent="0.25">
      <c r="B11" t="s">
        <v>28</v>
      </c>
      <c r="C11">
        <v>1969</v>
      </c>
      <c r="D11">
        <v>336</v>
      </c>
      <c r="E11">
        <v>3.57</v>
      </c>
      <c r="F11">
        <v>4</v>
      </c>
      <c r="G11" t="s">
        <v>87</v>
      </c>
    </row>
    <row r="12" spans="2:11" x14ac:dyDescent="0.25">
      <c r="B12" t="s">
        <v>29</v>
      </c>
      <c r="C12">
        <v>1934</v>
      </c>
      <c r="D12">
        <v>274</v>
      </c>
      <c r="E12">
        <v>4.2</v>
      </c>
      <c r="F12">
        <v>5</v>
      </c>
      <c r="G12" t="s">
        <v>87</v>
      </c>
    </row>
    <row r="13" spans="2:11" x14ac:dyDescent="0.25">
      <c r="B13" t="s">
        <v>30</v>
      </c>
      <c r="C13">
        <v>2023</v>
      </c>
      <c r="D13">
        <v>286</v>
      </c>
      <c r="E13">
        <v>3.89</v>
      </c>
      <c r="F13">
        <v>3</v>
      </c>
      <c r="G13" t="s">
        <v>86</v>
      </c>
    </row>
    <row r="14" spans="2:11" x14ac:dyDescent="0.25">
      <c r="B14" t="s">
        <v>31</v>
      </c>
      <c r="C14">
        <v>1939</v>
      </c>
      <c r="D14">
        <v>264</v>
      </c>
      <c r="E14">
        <v>4.28</v>
      </c>
      <c r="F14">
        <v>5</v>
      </c>
      <c r="G14" t="s">
        <v>87</v>
      </c>
    </row>
    <row r="15" spans="2:11" x14ac:dyDescent="0.25">
      <c r="B15" t="s">
        <v>32</v>
      </c>
      <c r="C15">
        <v>2003</v>
      </c>
      <c r="D15">
        <v>317</v>
      </c>
      <c r="E15">
        <v>4.2699999999999996</v>
      </c>
      <c r="F15">
        <v>3</v>
      </c>
      <c r="G15" t="s">
        <v>86</v>
      </c>
    </row>
    <row r="16" spans="2:11" x14ac:dyDescent="0.25">
      <c r="B16" t="s">
        <v>33</v>
      </c>
      <c r="C16">
        <v>2014</v>
      </c>
      <c r="D16">
        <v>304</v>
      </c>
      <c r="E16">
        <v>4.1399999999999997</v>
      </c>
      <c r="F16">
        <v>4</v>
      </c>
      <c r="G16" t="s">
        <v>86</v>
      </c>
    </row>
    <row r="17" spans="2:7" x14ac:dyDescent="0.25">
      <c r="B17" t="s">
        <v>34</v>
      </c>
      <c r="C17">
        <v>1963</v>
      </c>
      <c r="D17">
        <v>306</v>
      </c>
      <c r="E17">
        <v>4.1500000000000004</v>
      </c>
      <c r="F17">
        <v>4</v>
      </c>
      <c r="G17" t="s">
        <v>83</v>
      </c>
    </row>
    <row r="18" spans="2:7" x14ac:dyDescent="0.25">
      <c r="B18" t="s">
        <v>35</v>
      </c>
      <c r="C18">
        <v>1973</v>
      </c>
      <c r="D18">
        <v>303</v>
      </c>
      <c r="E18">
        <v>4.0599999999999996</v>
      </c>
      <c r="F18">
        <v>3</v>
      </c>
      <c r="G18" t="s">
        <v>83</v>
      </c>
    </row>
    <row r="19" spans="2:7" x14ac:dyDescent="0.25">
      <c r="B19" t="s">
        <v>36</v>
      </c>
      <c r="C19">
        <v>1925</v>
      </c>
      <c r="D19">
        <v>180</v>
      </c>
      <c r="E19">
        <v>3.93</v>
      </c>
      <c r="F19">
        <v>3</v>
      </c>
      <c r="G19" t="s">
        <v>85</v>
      </c>
    </row>
    <row r="20" spans="2:7" x14ac:dyDescent="0.25">
      <c r="B20" t="s">
        <v>37</v>
      </c>
      <c r="C20">
        <v>1945</v>
      </c>
      <c r="D20">
        <v>141</v>
      </c>
      <c r="E20">
        <v>4</v>
      </c>
      <c r="F20">
        <v>4</v>
      </c>
      <c r="G20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26C45-09B8-47F2-BA7E-BC72CF0771C5}">
  <sheetPr codeName="Sheet2"/>
  <dimension ref="B1:K16"/>
  <sheetViews>
    <sheetView workbookViewId="0">
      <selection activeCell="G2" sqref="G2:G16"/>
    </sheetView>
  </sheetViews>
  <sheetFormatPr defaultRowHeight="15" x14ac:dyDescent="0.25"/>
  <cols>
    <col min="2" max="2" width="30.140625" bestFit="1" customWidth="1"/>
    <col min="10" max="10" width="17" bestFit="1" customWidth="1"/>
  </cols>
  <sheetData>
    <row r="1" spans="2:11" x14ac:dyDescent="0.25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81</v>
      </c>
    </row>
    <row r="2" spans="2:11" x14ac:dyDescent="0.25">
      <c r="B2" t="s">
        <v>0</v>
      </c>
      <c r="C2">
        <v>1963</v>
      </c>
      <c r="D2">
        <v>325</v>
      </c>
      <c r="E2">
        <v>4.2</v>
      </c>
      <c r="F2">
        <v>3</v>
      </c>
      <c r="G2" t="s">
        <v>83</v>
      </c>
      <c r="J2" t="s">
        <v>12</v>
      </c>
    </row>
    <row r="3" spans="2:11" x14ac:dyDescent="0.25">
      <c r="B3" t="s">
        <v>6</v>
      </c>
      <c r="C3">
        <v>1932</v>
      </c>
      <c r="D3">
        <v>268</v>
      </c>
      <c r="E3">
        <v>3.99</v>
      </c>
      <c r="F3">
        <v>5</v>
      </c>
      <c r="G3" t="s">
        <v>85</v>
      </c>
      <c r="J3" t="s">
        <v>13</v>
      </c>
      <c r="K3">
        <f>COUNTIF(B2:B31, "&lt;&gt;")</f>
        <v>15</v>
      </c>
    </row>
    <row r="4" spans="2:11" x14ac:dyDescent="0.25">
      <c r="B4" t="s">
        <v>7</v>
      </c>
      <c r="C4">
        <v>2023</v>
      </c>
      <c r="D4">
        <v>416</v>
      </c>
      <c r="E4">
        <v>4.1399999999999997</v>
      </c>
      <c r="F4">
        <v>5</v>
      </c>
      <c r="G4" t="s">
        <v>83</v>
      </c>
      <c r="J4" t="s">
        <v>14</v>
      </c>
      <c r="K4">
        <f>SUM(D2:D31)</f>
        <v>6571</v>
      </c>
    </row>
    <row r="5" spans="2:11" x14ac:dyDescent="0.25">
      <c r="B5" t="s">
        <v>8</v>
      </c>
      <c r="C5">
        <v>2018</v>
      </c>
      <c r="D5">
        <v>384</v>
      </c>
      <c r="E5">
        <v>4.38</v>
      </c>
      <c r="F5">
        <v>4</v>
      </c>
      <c r="G5" t="s">
        <v>83</v>
      </c>
      <c r="J5" t="s">
        <v>15</v>
      </c>
      <c r="K5">
        <f>K4/K3</f>
        <v>438.06666666666666</v>
      </c>
    </row>
    <row r="6" spans="2:11" x14ac:dyDescent="0.25">
      <c r="B6" t="s">
        <v>9</v>
      </c>
      <c r="C6">
        <v>2001</v>
      </c>
      <c r="D6">
        <v>635</v>
      </c>
      <c r="E6">
        <v>4.0999999999999996</v>
      </c>
      <c r="F6">
        <v>4</v>
      </c>
      <c r="G6" t="s">
        <v>84</v>
      </c>
      <c r="J6" t="s">
        <v>16</v>
      </c>
      <c r="K6">
        <f>AVERAGE(C2:C31)</f>
        <v>1995.8</v>
      </c>
    </row>
    <row r="7" spans="2:11" x14ac:dyDescent="0.25">
      <c r="B7" t="s">
        <v>10</v>
      </c>
      <c r="C7">
        <v>2006</v>
      </c>
      <c r="D7">
        <v>387</v>
      </c>
      <c r="E7">
        <v>4.04</v>
      </c>
      <c r="F7">
        <v>4</v>
      </c>
      <c r="G7" t="s">
        <v>84</v>
      </c>
      <c r="J7" t="s">
        <v>17</v>
      </c>
      <c r="K7" cm="1">
        <f t="array" ref="K7">SUM(C2:C31*D2:D31)/K4</f>
        <v>1993.6919799117334</v>
      </c>
    </row>
    <row r="8" spans="2:11" x14ac:dyDescent="0.25">
      <c r="B8" t="s">
        <v>65</v>
      </c>
      <c r="C8">
        <v>1976</v>
      </c>
      <c r="D8">
        <v>609</v>
      </c>
      <c r="E8">
        <v>3.96</v>
      </c>
      <c r="F8">
        <v>3</v>
      </c>
      <c r="G8" t="s">
        <v>82</v>
      </c>
      <c r="J8" t="s">
        <v>18</v>
      </c>
      <c r="K8">
        <f>AVERAGE(E2:E31)</f>
        <v>4.1520000000000001</v>
      </c>
    </row>
    <row r="9" spans="2:11" x14ac:dyDescent="0.25">
      <c r="B9" t="s">
        <v>72</v>
      </c>
      <c r="C9">
        <v>2014</v>
      </c>
      <c r="D9">
        <v>369</v>
      </c>
      <c r="E9">
        <v>4.42</v>
      </c>
      <c r="F9">
        <v>5</v>
      </c>
      <c r="G9" t="s">
        <v>82</v>
      </c>
      <c r="J9" t="s">
        <v>19</v>
      </c>
      <c r="K9">
        <f>AVERAGE(F2:F31)</f>
        <v>3.9285714285714284</v>
      </c>
    </row>
    <row r="10" spans="2:11" x14ac:dyDescent="0.25">
      <c r="B10" t="s">
        <v>66</v>
      </c>
      <c r="C10">
        <v>1974</v>
      </c>
      <c r="D10">
        <v>1246</v>
      </c>
      <c r="E10">
        <v>4.5199999999999996</v>
      </c>
      <c r="F10">
        <v>4</v>
      </c>
      <c r="G10" t="s">
        <v>86</v>
      </c>
    </row>
    <row r="11" spans="2:11" x14ac:dyDescent="0.25">
      <c r="B11" t="s">
        <v>67</v>
      </c>
      <c r="C11">
        <v>1988</v>
      </c>
      <c r="D11">
        <v>317</v>
      </c>
      <c r="E11">
        <v>4.03</v>
      </c>
      <c r="G11" t="s">
        <v>86</v>
      </c>
    </row>
    <row r="12" spans="2:11" x14ac:dyDescent="0.25">
      <c r="B12" t="s">
        <v>70</v>
      </c>
      <c r="C12">
        <v>2011</v>
      </c>
      <c r="D12">
        <v>416</v>
      </c>
      <c r="E12">
        <v>4.3099999999999996</v>
      </c>
      <c r="F12">
        <v>4</v>
      </c>
      <c r="G12" t="s">
        <v>84</v>
      </c>
    </row>
    <row r="13" spans="2:11" x14ac:dyDescent="0.25">
      <c r="B13" t="s">
        <v>71</v>
      </c>
      <c r="C13">
        <v>2018</v>
      </c>
      <c r="D13">
        <v>393</v>
      </c>
      <c r="E13">
        <v>4.22</v>
      </c>
      <c r="F13">
        <v>4</v>
      </c>
      <c r="G13" t="s">
        <v>84</v>
      </c>
    </row>
    <row r="14" spans="2:11" x14ac:dyDescent="0.25">
      <c r="B14" t="s">
        <v>73</v>
      </c>
      <c r="C14">
        <v>2020</v>
      </c>
      <c r="D14">
        <v>288</v>
      </c>
      <c r="E14">
        <v>3.98</v>
      </c>
      <c r="F14">
        <v>4</v>
      </c>
      <c r="G14" t="s">
        <v>83</v>
      </c>
    </row>
    <row r="15" spans="2:11" x14ac:dyDescent="0.25">
      <c r="B15" t="s">
        <v>74</v>
      </c>
      <c r="C15">
        <v>1974</v>
      </c>
      <c r="D15">
        <v>272</v>
      </c>
      <c r="E15">
        <v>3.99</v>
      </c>
      <c r="F15">
        <v>3</v>
      </c>
      <c r="G15" t="s">
        <v>83</v>
      </c>
    </row>
    <row r="16" spans="2:11" x14ac:dyDescent="0.25">
      <c r="B16" t="s">
        <v>75</v>
      </c>
      <c r="C16">
        <v>2019</v>
      </c>
      <c r="D16">
        <v>246</v>
      </c>
      <c r="E16">
        <v>4</v>
      </c>
      <c r="F16">
        <v>3</v>
      </c>
      <c r="G16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6CF19-1C81-448A-AF41-017EE83E82C3}">
  <dimension ref="B1:K9"/>
  <sheetViews>
    <sheetView workbookViewId="0">
      <selection activeCell="B7" sqref="B7"/>
    </sheetView>
  </sheetViews>
  <sheetFormatPr defaultRowHeight="15" x14ac:dyDescent="0.25"/>
  <cols>
    <col min="2" max="2" width="30.140625" bestFit="1" customWidth="1"/>
    <col min="10" max="10" width="17" bestFit="1" customWidth="1"/>
  </cols>
  <sheetData>
    <row r="1" spans="2:11" x14ac:dyDescent="0.25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81</v>
      </c>
    </row>
    <row r="2" spans="2:11" x14ac:dyDescent="0.25">
      <c r="B2" t="s">
        <v>76</v>
      </c>
      <c r="C2">
        <v>2017</v>
      </c>
      <c r="D2">
        <v>416</v>
      </c>
      <c r="E2">
        <v>4.25</v>
      </c>
      <c r="F2">
        <v>4</v>
      </c>
      <c r="G2" t="s">
        <v>84</v>
      </c>
      <c r="J2" t="s">
        <v>12</v>
      </c>
    </row>
    <row r="3" spans="2:11" x14ac:dyDescent="0.25">
      <c r="B3" t="s">
        <v>77</v>
      </c>
      <c r="C3">
        <v>1950</v>
      </c>
      <c r="D3">
        <v>224</v>
      </c>
      <c r="E3">
        <v>4.21</v>
      </c>
      <c r="F3">
        <v>4</v>
      </c>
      <c r="G3" t="s">
        <v>82</v>
      </c>
      <c r="J3" t="s">
        <v>13</v>
      </c>
      <c r="K3">
        <f>COUNTIF(B2:B31, "&lt;&gt;")</f>
        <v>5</v>
      </c>
    </row>
    <row r="4" spans="2:11" x14ac:dyDescent="0.25">
      <c r="B4" t="s">
        <v>78</v>
      </c>
      <c r="C4">
        <v>2021</v>
      </c>
      <c r="D4">
        <v>476</v>
      </c>
      <c r="E4">
        <v>4.51</v>
      </c>
      <c r="F4">
        <v>5</v>
      </c>
      <c r="G4" t="s">
        <v>82</v>
      </c>
      <c r="J4" t="s">
        <v>14</v>
      </c>
      <c r="K4">
        <f>SUM(D2:D31)</f>
        <v>1762</v>
      </c>
    </row>
    <row r="5" spans="2:11" x14ac:dyDescent="0.25">
      <c r="B5" t="s">
        <v>79</v>
      </c>
      <c r="C5">
        <v>2025</v>
      </c>
      <c r="D5">
        <v>198</v>
      </c>
      <c r="E5">
        <v>4.33</v>
      </c>
      <c r="F5">
        <v>5</v>
      </c>
      <c r="G5" t="s">
        <v>86</v>
      </c>
      <c r="J5" t="s">
        <v>15</v>
      </c>
      <c r="K5">
        <f>K4/K3</f>
        <v>352.4</v>
      </c>
    </row>
    <row r="6" spans="2:11" x14ac:dyDescent="0.25">
      <c r="B6" t="s">
        <v>80</v>
      </c>
      <c r="C6">
        <v>2019</v>
      </c>
      <c r="D6">
        <v>448</v>
      </c>
      <c r="E6">
        <v>4.33</v>
      </c>
      <c r="F6">
        <v>4</v>
      </c>
      <c r="G6" t="s">
        <v>86</v>
      </c>
      <c r="J6" t="s">
        <v>16</v>
      </c>
      <c r="K6">
        <f>AVERAGE(C2:C31)</f>
        <v>2006.4</v>
      </c>
    </row>
    <row r="7" spans="2:11" x14ac:dyDescent="0.25">
      <c r="J7" t="s">
        <v>17</v>
      </c>
      <c r="K7" cm="1">
        <f t="array" ref="K7">SUM(C2:C31*D2:D31)/K4</f>
        <v>2010.9704880817253</v>
      </c>
    </row>
    <row r="8" spans="2:11" x14ac:dyDescent="0.25">
      <c r="J8" t="s">
        <v>18</v>
      </c>
      <c r="K8">
        <f>AVERAGE(E2:E31)</f>
        <v>4.3260000000000005</v>
      </c>
    </row>
    <row r="9" spans="2:11" x14ac:dyDescent="0.25">
      <c r="J9" t="s">
        <v>19</v>
      </c>
      <c r="K9">
        <f>AVERAGE(F2:F31)</f>
        <v>4.4000000000000004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75D15-26B9-4F7F-A46B-2354745FEDED}">
  <dimension ref="A1:X71"/>
  <sheetViews>
    <sheetView tabSelected="1" workbookViewId="0">
      <selection activeCell="W15" sqref="W15"/>
    </sheetView>
  </sheetViews>
  <sheetFormatPr defaultColWidth="14.140625" defaultRowHeight="15" x14ac:dyDescent="0.25"/>
  <cols>
    <col min="2" max="2" width="25.140625" customWidth="1"/>
    <col min="14" max="14" width="19.28515625" bestFit="1" customWidth="1"/>
    <col min="16" max="16" width="25.5703125" customWidth="1"/>
  </cols>
  <sheetData>
    <row r="1" spans="1:24" x14ac:dyDescent="0.25">
      <c r="A1" t="s">
        <v>55</v>
      </c>
      <c r="B1" t="s">
        <v>1</v>
      </c>
      <c r="C1" t="s">
        <v>92</v>
      </c>
      <c r="D1" t="s">
        <v>2</v>
      </c>
      <c r="E1" t="s">
        <v>3</v>
      </c>
      <c r="F1" t="s">
        <v>4</v>
      </c>
      <c r="G1" t="s">
        <v>5</v>
      </c>
      <c r="H1" t="s">
        <v>81</v>
      </c>
      <c r="I1" t="s">
        <v>130</v>
      </c>
    </row>
    <row r="2" spans="1:24" x14ac:dyDescent="0.25">
      <c r="A2">
        <v>2023</v>
      </c>
      <c r="B2" t="s">
        <v>39</v>
      </c>
      <c r="C2" t="s">
        <v>93</v>
      </c>
      <c r="D2">
        <v>1965</v>
      </c>
      <c r="E2">
        <v>658</v>
      </c>
      <c r="F2">
        <v>4.28</v>
      </c>
      <c r="G2">
        <v>5</v>
      </c>
      <c r="H2" t="s">
        <v>82</v>
      </c>
      <c r="I2">
        <v>0</v>
      </c>
      <c r="K2" t="s">
        <v>12</v>
      </c>
      <c r="N2" t="s">
        <v>48</v>
      </c>
      <c r="O2" t="s">
        <v>56</v>
      </c>
      <c r="P2" t="s">
        <v>57</v>
      </c>
      <c r="Q2" t="s">
        <v>5</v>
      </c>
      <c r="S2" t="str" cm="1">
        <f t="array" ref="S2:S10">_xlfn.UNIQUE(H:H)</f>
        <v>Genre</v>
      </c>
      <c r="T2" t="s">
        <v>11</v>
      </c>
      <c r="U2" t="s">
        <v>89</v>
      </c>
      <c r="V2" t="s">
        <v>90</v>
      </c>
      <c r="W2" t="s">
        <v>88</v>
      </c>
      <c r="X2" t="s">
        <v>91</v>
      </c>
    </row>
    <row r="3" spans="1:24" x14ac:dyDescent="0.25">
      <c r="A3">
        <v>2023</v>
      </c>
      <c r="B3" t="s">
        <v>40</v>
      </c>
      <c r="C3" t="s">
        <v>93</v>
      </c>
      <c r="D3">
        <v>1969</v>
      </c>
      <c r="E3">
        <v>336</v>
      </c>
      <c r="F3">
        <v>3.89</v>
      </c>
      <c r="G3">
        <v>4</v>
      </c>
      <c r="H3" t="s">
        <v>82</v>
      </c>
      <c r="I3">
        <v>0</v>
      </c>
      <c r="K3" t="s">
        <v>13</v>
      </c>
      <c r="L3">
        <f>COUNTIF(B:B, "&lt;&gt;") - 1</f>
        <v>70</v>
      </c>
      <c r="N3" t="s">
        <v>49</v>
      </c>
      <c r="O3">
        <f>MIN(D:D)</f>
        <v>801</v>
      </c>
      <c r="P3" t="str">
        <f>INDEX(B:B, MATCH(O3,D:D,0))</f>
        <v>The Odyssey</v>
      </c>
      <c r="Q3">
        <f t="shared" ref="Q3:Q10" si="0">INDEX(G:G, MATCH(P3,B:B,0))</f>
        <v>4</v>
      </c>
      <c r="S3" t="str">
        <v>SciFi</v>
      </c>
      <c r="T3">
        <f>COUNTIFS(H:H,S3)</f>
        <v>12</v>
      </c>
      <c r="U3">
        <f>AVERAGEIFS(E:E,$H:$H,$S3)</f>
        <v>348.91666666666669</v>
      </c>
      <c r="V3">
        <f>AVERAGEIFS(F:F,$H:$H,$S3)</f>
        <v>4.1724999999999994</v>
      </c>
      <c r="W3">
        <f>AVERAGEIFS(G:G,$H:$H,$S3)</f>
        <v>4.333333333333333</v>
      </c>
      <c r="X3">
        <f>W3-V3</f>
        <v>0.16083333333333361</v>
      </c>
    </row>
    <row r="4" spans="1:24" x14ac:dyDescent="0.25">
      <c r="A4">
        <v>2023</v>
      </c>
      <c r="B4" t="s">
        <v>41</v>
      </c>
      <c r="C4" t="s">
        <v>105</v>
      </c>
      <c r="D4">
        <v>1969</v>
      </c>
      <c r="E4">
        <v>275</v>
      </c>
      <c r="F4">
        <v>4.0999999999999996</v>
      </c>
      <c r="G4">
        <v>5</v>
      </c>
      <c r="H4" t="s">
        <v>83</v>
      </c>
      <c r="I4">
        <v>0</v>
      </c>
      <c r="K4" t="s">
        <v>14</v>
      </c>
      <c r="L4">
        <f>SUM(E:E)</f>
        <v>23047</v>
      </c>
      <c r="N4" t="s">
        <v>50</v>
      </c>
      <c r="O4">
        <f>MAX(D:D)</f>
        <v>2025</v>
      </c>
      <c r="P4" t="str">
        <f t="shared" ref="P4" si="1">INDEX(B:B, MATCH(O4,D:D,0))</f>
        <v>Everything is Tuberculosis</v>
      </c>
      <c r="Q4">
        <f t="shared" si="0"/>
        <v>5</v>
      </c>
      <c r="S4" t="str">
        <v>Fiction</v>
      </c>
      <c r="T4">
        <f t="shared" ref="T4:T7" si="2">COUNTIFS(H:H,S4)</f>
        <v>22</v>
      </c>
      <c r="U4">
        <f>AVERAGEIFS(E:E,$H:$H,$S4)</f>
        <v>281.09090909090907</v>
      </c>
      <c r="V4">
        <f>AVERAGEIFS(F:F,$H:$H,$S4)</f>
        <v>3.9909090909090921</v>
      </c>
      <c r="W4">
        <f>AVERAGEIFS(G:G,$H:$H,$S4)</f>
        <v>3.5454545454545454</v>
      </c>
      <c r="X4">
        <f t="shared" ref="X4:X13" si="3">W4-V4</f>
        <v>-0.44545454545454666</v>
      </c>
    </row>
    <row r="5" spans="1:24" x14ac:dyDescent="0.25">
      <c r="A5">
        <v>2023</v>
      </c>
      <c r="B5" t="s">
        <v>42</v>
      </c>
      <c r="C5" t="s">
        <v>95</v>
      </c>
      <c r="D5">
        <v>1937</v>
      </c>
      <c r="E5">
        <v>366</v>
      </c>
      <c r="F5">
        <v>4.29</v>
      </c>
      <c r="G5">
        <v>5</v>
      </c>
      <c r="H5" t="s">
        <v>84</v>
      </c>
      <c r="I5">
        <v>0</v>
      </c>
      <c r="K5" t="s">
        <v>15</v>
      </c>
      <c r="L5">
        <f>L4/L3</f>
        <v>329.24285714285713</v>
      </c>
      <c r="N5" t="s">
        <v>51</v>
      </c>
      <c r="O5">
        <f>MIN(F:F)</f>
        <v>3.51</v>
      </c>
      <c r="P5" t="str">
        <f>INDEX(B:B, MATCH(O5,F:F,0))</f>
        <v>Pinball 1973</v>
      </c>
      <c r="Q5">
        <f t="shared" si="0"/>
        <v>2</v>
      </c>
      <c r="S5" t="str">
        <v>Fantasy</v>
      </c>
      <c r="T5">
        <f t="shared" si="2"/>
        <v>10</v>
      </c>
      <c r="U5">
        <f>AVERAGEIFS(E:E,$H:$H,$S5)</f>
        <v>446.6</v>
      </c>
      <c r="V5">
        <f>AVERAGEIFS(F:F,$H:$H,$S5)</f>
        <v>4.2530000000000001</v>
      </c>
      <c r="W5">
        <f>AVERAGEIFS(G:G,$H:$H,$S5)</f>
        <v>4.4000000000000004</v>
      </c>
      <c r="X5">
        <f t="shared" si="3"/>
        <v>0.14700000000000024</v>
      </c>
    </row>
    <row r="6" spans="1:24" x14ac:dyDescent="0.25">
      <c r="A6">
        <v>2023</v>
      </c>
      <c r="B6" t="s">
        <v>43</v>
      </c>
      <c r="C6" t="s">
        <v>107</v>
      </c>
      <c r="D6">
        <v>1866</v>
      </c>
      <c r="E6">
        <v>671</v>
      </c>
      <c r="F6">
        <v>4.28</v>
      </c>
      <c r="G6">
        <v>4</v>
      </c>
      <c r="H6" t="s">
        <v>85</v>
      </c>
      <c r="I6">
        <v>0</v>
      </c>
      <c r="K6" t="s">
        <v>61</v>
      </c>
      <c r="L6">
        <f>MEDIAN(E:E)</f>
        <v>303.5</v>
      </c>
      <c r="N6" t="s">
        <v>52</v>
      </c>
      <c r="O6">
        <f>MAX(F:F)</f>
        <v>4.58</v>
      </c>
      <c r="P6" t="str">
        <f>INDEX(B:B, MATCH(O6,F:F,0))</f>
        <v>Return of the King</v>
      </c>
      <c r="Q6">
        <f t="shared" si="0"/>
        <v>5</v>
      </c>
      <c r="S6" t="str">
        <v>Classic</v>
      </c>
      <c r="T6">
        <f t="shared" si="2"/>
        <v>8</v>
      </c>
      <c r="U6">
        <f>AVERAGEIFS(E:E,$H:$H,$S6)</f>
        <v>248.375</v>
      </c>
      <c r="V6">
        <f>AVERAGEIFS(F:F,$H:$H,$S6)</f>
        <v>3.9962499999999999</v>
      </c>
      <c r="W6">
        <f>AVERAGEIFS(G:G,$H:$H,$S6)</f>
        <v>3.5</v>
      </c>
      <c r="X6">
        <f t="shared" si="3"/>
        <v>-0.49624999999999986</v>
      </c>
    </row>
    <row r="7" spans="1:24" x14ac:dyDescent="0.25">
      <c r="A7">
        <v>2023</v>
      </c>
      <c r="B7" t="s">
        <v>44</v>
      </c>
      <c r="D7">
        <v>2021</v>
      </c>
      <c r="E7">
        <v>248</v>
      </c>
      <c r="F7">
        <v>3.65</v>
      </c>
      <c r="G7">
        <v>4</v>
      </c>
      <c r="H7" t="s">
        <v>86</v>
      </c>
      <c r="I7">
        <v>0</v>
      </c>
      <c r="K7" t="s">
        <v>63</v>
      </c>
      <c r="L7">
        <f>_xlfn.STDEV.P(E:E)</f>
        <v>167.03407998833956</v>
      </c>
      <c r="N7" t="s">
        <v>53</v>
      </c>
      <c r="O7">
        <f>MAX(E:E)</f>
        <v>1246</v>
      </c>
      <c r="P7" t="str">
        <f>INDEX(B:B, MATCH(O7,E:E,0))</f>
        <v>The Power Broker: Robert Moses &amp; the Fall of New York</v>
      </c>
      <c r="Q7">
        <f t="shared" si="0"/>
        <v>4</v>
      </c>
      <c r="S7" t="str">
        <v>Nonfiction</v>
      </c>
      <c r="T7">
        <f t="shared" si="2"/>
        <v>11</v>
      </c>
      <c r="U7">
        <f>AVERAGEIFS(E:E,$H:$H,$S7)</f>
        <v>391.36363636363637</v>
      </c>
      <c r="V7">
        <f>AVERAGEIFS(F:F,$H:$H,$S7)</f>
        <v>4.1563636363636363</v>
      </c>
      <c r="W7">
        <f>AVERAGEIFS(G:G,$H:$H,$S7)</f>
        <v>4.1818181818181817</v>
      </c>
      <c r="X7">
        <f t="shared" si="3"/>
        <v>2.5454545454545396E-2</v>
      </c>
    </row>
    <row r="8" spans="1:24" x14ac:dyDescent="0.25">
      <c r="A8">
        <v>2023</v>
      </c>
      <c r="B8" t="s">
        <v>45</v>
      </c>
      <c r="C8" t="s">
        <v>104</v>
      </c>
      <c r="D8">
        <v>1979</v>
      </c>
      <c r="E8">
        <v>130</v>
      </c>
      <c r="F8">
        <v>3.57</v>
      </c>
      <c r="G8">
        <v>3</v>
      </c>
      <c r="H8" t="s">
        <v>83</v>
      </c>
      <c r="I8">
        <v>0</v>
      </c>
      <c r="K8" t="s">
        <v>16</v>
      </c>
      <c r="L8">
        <f>AVERAGE(D:D)</f>
        <v>1943.3714285714286</v>
      </c>
      <c r="N8" t="s">
        <v>54</v>
      </c>
      <c r="O8">
        <f>MIN(E:E)</f>
        <v>27</v>
      </c>
      <c r="P8" t="str">
        <f>INDEX(B:B, MATCH(O8,E:E,0))</f>
        <v>The Most Dangerous Game</v>
      </c>
      <c r="Q8">
        <f t="shared" si="0"/>
        <v>3</v>
      </c>
      <c r="S8" t="str">
        <v>Mystery</v>
      </c>
      <c r="T8">
        <f>COUNTIFS(H:H,S8)</f>
        <v>4</v>
      </c>
      <c r="U8">
        <f>AVERAGEIFS(E:E,$H:$H,$S8)</f>
        <v>306.5</v>
      </c>
      <c r="V8">
        <f>AVERAGEIFS(F:F,$H:$H,$S8)</f>
        <v>4.0425000000000004</v>
      </c>
      <c r="W8">
        <f>AVERAGEIFS(G:G,$H:$H,$S8)</f>
        <v>4.75</v>
      </c>
      <c r="X8">
        <f t="shared" si="3"/>
        <v>0.70749999999999957</v>
      </c>
    </row>
    <row r="9" spans="1:24" x14ac:dyDescent="0.25">
      <c r="A9">
        <v>2023</v>
      </c>
      <c r="B9" t="s">
        <v>46</v>
      </c>
      <c r="C9" t="s">
        <v>94</v>
      </c>
      <c r="D9">
        <v>1818</v>
      </c>
      <c r="E9">
        <v>260</v>
      </c>
      <c r="F9">
        <v>3.89</v>
      </c>
      <c r="G9">
        <v>5</v>
      </c>
      <c r="H9" t="s">
        <v>85</v>
      </c>
      <c r="I9">
        <v>0</v>
      </c>
      <c r="K9" t="s">
        <v>62</v>
      </c>
      <c r="L9">
        <f>MEDIAN(D:D)</f>
        <v>1969</v>
      </c>
      <c r="N9" t="s">
        <v>68</v>
      </c>
      <c r="O9" cm="1">
        <f t="array" ref="O9">MAX(IFERROR(E:E*G:G,0))</f>
        <v>4984</v>
      </c>
      <c r="P9" t="str" cm="1">
        <f t="array" ref="P9">INDEX(B:B, MATCH(O9,E:E*G:G,0))</f>
        <v>The Power Broker: Robert Moses &amp; the Fall of New York</v>
      </c>
      <c r="Q9">
        <f t="shared" si="0"/>
        <v>4</v>
      </c>
      <c r="S9" t="str">
        <v>Play</v>
      </c>
      <c r="T9">
        <f>COUNTIFS(H:H,S9)</f>
        <v>3</v>
      </c>
      <c r="U9">
        <f>AVERAGEIFS(E:E,$H:$H,$S9)</f>
        <v>230.66666666666666</v>
      </c>
      <c r="V9">
        <f>AVERAGEIFS(F:F,$H:$H,$S9)</f>
        <v>3.8266666666666667</v>
      </c>
      <c r="W9">
        <f>AVERAGEIFS(G:G,$H:$H,$S9)</f>
        <v>3.3333333333333335</v>
      </c>
      <c r="X9">
        <f t="shared" si="3"/>
        <v>-0.49333333333333318</v>
      </c>
    </row>
    <row r="10" spans="1:24" x14ac:dyDescent="0.25">
      <c r="A10">
        <v>2023</v>
      </c>
      <c r="B10" t="s">
        <v>47</v>
      </c>
      <c r="C10" t="s">
        <v>108</v>
      </c>
      <c r="D10">
        <v>2003</v>
      </c>
      <c r="E10">
        <v>489</v>
      </c>
      <c r="F10">
        <v>3.93</v>
      </c>
      <c r="G10">
        <v>4</v>
      </c>
      <c r="H10" t="s">
        <v>83</v>
      </c>
      <c r="I10">
        <v>0</v>
      </c>
      <c r="K10" t="s">
        <v>17</v>
      </c>
      <c r="L10" cm="1">
        <f t="array" ref="L10">SUM(IFERROR(D:D*E:E, 0))/L4</f>
        <v>1937.4808434937302</v>
      </c>
      <c r="N10" t="s">
        <v>69</v>
      </c>
      <c r="O10">
        <f>_xlfn.MAXIFS(E:E,G:G, 5)</f>
        <v>658</v>
      </c>
      <c r="P10" t="str">
        <f>INDEX(B:B, MATCH(O10,E:E,0))</f>
        <v>Dune</v>
      </c>
      <c r="Q10">
        <f t="shared" si="0"/>
        <v>5</v>
      </c>
      <c r="S10">
        <v>0</v>
      </c>
    </row>
    <row r="11" spans="1:24" x14ac:dyDescent="0.25">
      <c r="A11">
        <v>2024</v>
      </c>
      <c r="B11" t="s">
        <v>20</v>
      </c>
      <c r="C11" t="s">
        <v>109</v>
      </c>
      <c r="D11">
        <v>1958</v>
      </c>
      <c r="E11">
        <v>311</v>
      </c>
      <c r="F11">
        <v>4.2300000000000004</v>
      </c>
      <c r="G11">
        <v>5</v>
      </c>
      <c r="H11" t="s">
        <v>83</v>
      </c>
      <c r="I11">
        <v>0</v>
      </c>
      <c r="K11" t="s">
        <v>18</v>
      </c>
      <c r="L11">
        <f>AVERAGE(F:F)</f>
        <v>4.0820000000000007</v>
      </c>
      <c r="N11" t="s">
        <v>58</v>
      </c>
      <c r="O11" cm="1">
        <f t="array" ref="O11">MIN(IFERROR(G:G-F:F,0))</f>
        <v>-2.9</v>
      </c>
      <c r="P11" t="str" cm="1">
        <f t="array" ref="P11">INDEX(B:B, MATCH(O11,G:G-F:F,0))</f>
        <v>Roll of Thunder, Hear My Cry</v>
      </c>
      <c r="Q11">
        <f>INDEX(G:G, MATCH(P11,B:B,0))</f>
        <v>1</v>
      </c>
      <c r="S11" t="s">
        <v>169</v>
      </c>
    </row>
    <row r="12" spans="1:24" x14ac:dyDescent="0.25">
      <c r="A12">
        <v>2024</v>
      </c>
      <c r="B12" t="s">
        <v>21</v>
      </c>
      <c r="C12" t="s">
        <v>95</v>
      </c>
      <c r="D12">
        <v>1954</v>
      </c>
      <c r="E12">
        <v>432</v>
      </c>
      <c r="F12">
        <v>4.4000000000000004</v>
      </c>
      <c r="G12">
        <v>5</v>
      </c>
      <c r="H12" t="s">
        <v>84</v>
      </c>
      <c r="I12">
        <v>0</v>
      </c>
      <c r="K12" t="s">
        <v>19</v>
      </c>
      <c r="L12">
        <f>AVERAGE(G:G)</f>
        <v>3.9571428571428573</v>
      </c>
      <c r="N12" t="s">
        <v>59</v>
      </c>
      <c r="O12" cm="1">
        <f t="array" ref="O12">MAX(IFERROR(G:G-F:F,0))</f>
        <v>1.1099999999999999</v>
      </c>
      <c r="P12" t="str" cm="1">
        <f t="array" ref="P12">INDEX(B:B, MATCH(O12,G:G-F:F,0))</f>
        <v>Frankenstein</v>
      </c>
      <c r="Q12">
        <f t="shared" ref="Q12:Q13" si="4">INDEX(G:G, MATCH(P12,B:B,0))</f>
        <v>5</v>
      </c>
      <c r="S12">
        <v>1</v>
      </c>
      <c r="T12">
        <f>COUNTIFS(I:I, S12)</f>
        <v>16</v>
      </c>
      <c r="U12">
        <f>AVERAGEIFS(E:E,$I:$I,$S12)</f>
        <v>268.3125</v>
      </c>
      <c r="V12">
        <f t="shared" ref="V12:X13" si="5">AVERAGEIFS(F:F,$I:$I,$S12)</f>
        <v>3.96</v>
      </c>
      <c r="W12">
        <f t="shared" si="5"/>
        <v>3.5</v>
      </c>
      <c r="X12">
        <f t="shared" si="3"/>
        <v>-0.45999999999999996</v>
      </c>
    </row>
    <row r="13" spans="1:24" x14ac:dyDescent="0.25">
      <c r="A13">
        <v>2024</v>
      </c>
      <c r="B13" t="s">
        <v>22</v>
      </c>
      <c r="C13" t="s">
        <v>95</v>
      </c>
      <c r="D13">
        <v>1954</v>
      </c>
      <c r="E13">
        <v>448</v>
      </c>
      <c r="F13">
        <v>4.5</v>
      </c>
      <c r="G13">
        <v>5</v>
      </c>
      <c r="H13" t="s">
        <v>84</v>
      </c>
      <c r="I13">
        <v>0</v>
      </c>
      <c r="N13" t="s">
        <v>60</v>
      </c>
      <c r="O13" cm="1">
        <f t="array" ref="O13">MIN(IFERROR(ABS(G:G-F:F),0))</f>
        <v>0</v>
      </c>
      <c r="P13" t="str" cm="1">
        <f t="array" ref="P13">INDEX(B:B, MATCH(O13,G:G-F:F,0))</f>
        <v>Animal Farm</v>
      </c>
      <c r="Q13">
        <f t="shared" si="4"/>
        <v>4</v>
      </c>
      <c r="S13">
        <v>0</v>
      </c>
      <c r="T13">
        <f>COUNTIFS(I:I, S13)</f>
        <v>54</v>
      </c>
      <c r="U13">
        <f>AVERAGEIFS(E:E,$I:$I,$S13)</f>
        <v>347.2962962962963</v>
      </c>
      <c r="V13">
        <f t="shared" si="5"/>
        <v>4.1181481481481486</v>
      </c>
      <c r="W13">
        <f t="shared" si="5"/>
        <v>4.0925925925925926</v>
      </c>
      <c r="X13">
        <f t="shared" si="3"/>
        <v>-2.5555555555555998E-2</v>
      </c>
    </row>
    <row r="14" spans="1:24" x14ac:dyDescent="0.25">
      <c r="A14">
        <v>2024</v>
      </c>
      <c r="B14" t="s">
        <v>23</v>
      </c>
      <c r="C14" t="s">
        <v>95</v>
      </c>
      <c r="D14">
        <v>1955</v>
      </c>
      <c r="E14">
        <v>432</v>
      </c>
      <c r="F14">
        <v>4.58</v>
      </c>
      <c r="G14">
        <v>5</v>
      </c>
      <c r="H14" t="s">
        <v>84</v>
      </c>
      <c r="I14">
        <v>0</v>
      </c>
    </row>
    <row r="15" spans="1:24" x14ac:dyDescent="0.25">
      <c r="A15">
        <v>2024</v>
      </c>
      <c r="B15" t="s">
        <v>24</v>
      </c>
      <c r="C15" t="s">
        <v>110</v>
      </c>
      <c r="D15">
        <v>1924</v>
      </c>
      <c r="E15">
        <v>27</v>
      </c>
      <c r="F15">
        <v>3.95</v>
      </c>
      <c r="G15">
        <v>3</v>
      </c>
      <c r="H15" t="s">
        <v>85</v>
      </c>
      <c r="I15">
        <v>0</v>
      </c>
      <c r="K15" t="s">
        <v>64</v>
      </c>
      <c r="L15" t="s">
        <v>11</v>
      </c>
    </row>
    <row r="16" spans="1:24" x14ac:dyDescent="0.25">
      <c r="A16">
        <v>2024</v>
      </c>
      <c r="B16" t="s">
        <v>25</v>
      </c>
      <c r="C16" t="s">
        <v>111</v>
      </c>
      <c r="D16">
        <v>1886</v>
      </c>
      <c r="E16">
        <v>139</v>
      </c>
      <c r="F16">
        <v>3.83</v>
      </c>
      <c r="G16">
        <v>2</v>
      </c>
      <c r="H16" t="s">
        <v>85</v>
      </c>
      <c r="I16">
        <v>0</v>
      </c>
      <c r="K16">
        <v>1</v>
      </c>
      <c r="L16">
        <f>COUNTIF(G:G,K16)</f>
        <v>1</v>
      </c>
    </row>
    <row r="17" spans="1:12" x14ac:dyDescent="0.25">
      <c r="A17">
        <v>2024</v>
      </c>
      <c r="B17" t="s">
        <v>38</v>
      </c>
      <c r="C17" t="s">
        <v>103</v>
      </c>
      <c r="D17">
        <v>1915</v>
      </c>
      <c r="E17">
        <v>201</v>
      </c>
      <c r="F17">
        <v>3.89</v>
      </c>
      <c r="G17">
        <v>3</v>
      </c>
      <c r="H17" t="s">
        <v>85</v>
      </c>
      <c r="I17">
        <v>0</v>
      </c>
      <c r="K17">
        <v>2</v>
      </c>
      <c r="L17">
        <f>COUNTIF(G:G,K17)</f>
        <v>2</v>
      </c>
    </row>
    <row r="18" spans="1:12" x14ac:dyDescent="0.25">
      <c r="A18">
        <v>2024</v>
      </c>
      <c r="B18" t="s">
        <v>26</v>
      </c>
      <c r="C18" t="s">
        <v>97</v>
      </c>
      <c r="D18">
        <v>1937</v>
      </c>
      <c r="E18">
        <v>352</v>
      </c>
      <c r="F18">
        <v>4.12</v>
      </c>
      <c r="G18">
        <v>5</v>
      </c>
      <c r="H18" t="s">
        <v>87</v>
      </c>
      <c r="I18">
        <v>0</v>
      </c>
      <c r="K18">
        <v>3</v>
      </c>
      <c r="L18">
        <f>COUNTIF(G:G,K18)</f>
        <v>16</v>
      </c>
    </row>
    <row r="19" spans="1:12" x14ac:dyDescent="0.25">
      <c r="A19">
        <v>2024</v>
      </c>
      <c r="B19" t="s">
        <v>27</v>
      </c>
      <c r="C19" t="s">
        <v>104</v>
      </c>
      <c r="D19">
        <v>1980</v>
      </c>
      <c r="E19">
        <v>215</v>
      </c>
      <c r="F19">
        <v>3.51</v>
      </c>
      <c r="G19">
        <v>2</v>
      </c>
      <c r="H19" t="s">
        <v>83</v>
      </c>
      <c r="I19">
        <v>0</v>
      </c>
      <c r="K19">
        <v>4</v>
      </c>
      <c r="L19">
        <f>COUNTIF(G:G,K19)</f>
        <v>31</v>
      </c>
    </row>
    <row r="20" spans="1:12" x14ac:dyDescent="0.25">
      <c r="A20">
        <v>2024</v>
      </c>
      <c r="B20" t="s">
        <v>28</v>
      </c>
      <c r="C20" t="s">
        <v>97</v>
      </c>
      <c r="D20">
        <v>1969</v>
      </c>
      <c r="E20">
        <v>336</v>
      </c>
      <c r="F20">
        <v>3.57</v>
      </c>
      <c r="G20">
        <v>4</v>
      </c>
      <c r="H20" t="s">
        <v>87</v>
      </c>
      <c r="I20">
        <v>0</v>
      </c>
      <c r="K20">
        <v>5</v>
      </c>
      <c r="L20">
        <f>COUNTIF(G:G,K20)</f>
        <v>20</v>
      </c>
    </row>
    <row r="21" spans="1:12" x14ac:dyDescent="0.25">
      <c r="A21">
        <v>2024</v>
      </c>
      <c r="B21" t="s">
        <v>29</v>
      </c>
      <c r="C21" t="s">
        <v>97</v>
      </c>
      <c r="D21">
        <v>1934</v>
      </c>
      <c r="E21">
        <v>274</v>
      </c>
      <c r="F21">
        <v>4.2</v>
      </c>
      <c r="G21">
        <v>5</v>
      </c>
      <c r="H21" t="s">
        <v>87</v>
      </c>
      <c r="I21">
        <v>0</v>
      </c>
    </row>
    <row r="22" spans="1:12" x14ac:dyDescent="0.25">
      <c r="A22">
        <v>2024</v>
      </c>
      <c r="B22" t="s">
        <v>30</v>
      </c>
      <c r="C22" t="s">
        <v>112</v>
      </c>
      <c r="D22">
        <v>2023</v>
      </c>
      <c r="E22">
        <v>286</v>
      </c>
      <c r="F22">
        <v>3.89</v>
      </c>
      <c r="G22">
        <v>3</v>
      </c>
      <c r="H22" t="s">
        <v>86</v>
      </c>
      <c r="I22">
        <v>0</v>
      </c>
    </row>
    <row r="23" spans="1:12" x14ac:dyDescent="0.25">
      <c r="A23">
        <v>2024</v>
      </c>
      <c r="B23" t="s">
        <v>31</v>
      </c>
      <c r="C23" t="s">
        <v>97</v>
      </c>
      <c r="D23">
        <v>1939</v>
      </c>
      <c r="E23">
        <v>264</v>
      </c>
      <c r="F23">
        <v>4.28</v>
      </c>
      <c r="G23">
        <v>5</v>
      </c>
      <c r="H23" t="s">
        <v>87</v>
      </c>
      <c r="I23">
        <v>0</v>
      </c>
    </row>
    <row r="24" spans="1:12" x14ac:dyDescent="0.25">
      <c r="A24">
        <v>2024</v>
      </c>
      <c r="B24" t="s">
        <v>32</v>
      </c>
      <c r="C24" t="s">
        <v>96</v>
      </c>
      <c r="D24">
        <v>2003</v>
      </c>
      <c r="E24">
        <v>317</v>
      </c>
      <c r="F24">
        <v>4.2699999999999996</v>
      </c>
      <c r="G24">
        <v>3</v>
      </c>
      <c r="H24" t="s">
        <v>86</v>
      </c>
      <c r="I24">
        <v>0</v>
      </c>
    </row>
    <row r="25" spans="1:12" x14ac:dyDescent="0.25">
      <c r="A25">
        <v>2024</v>
      </c>
      <c r="B25" t="s">
        <v>33</v>
      </c>
      <c r="C25" t="s">
        <v>96</v>
      </c>
      <c r="D25">
        <v>2014</v>
      </c>
      <c r="E25">
        <v>304</v>
      </c>
      <c r="F25">
        <v>4.1399999999999997</v>
      </c>
      <c r="G25">
        <v>4</v>
      </c>
      <c r="H25" t="s">
        <v>86</v>
      </c>
      <c r="I25">
        <v>0</v>
      </c>
    </row>
    <row r="26" spans="1:12" x14ac:dyDescent="0.25">
      <c r="A26">
        <v>2024</v>
      </c>
      <c r="B26" t="s">
        <v>34</v>
      </c>
      <c r="C26" t="s">
        <v>105</v>
      </c>
      <c r="D26">
        <v>1963</v>
      </c>
      <c r="E26">
        <v>306</v>
      </c>
      <c r="F26">
        <v>4.1500000000000004</v>
      </c>
      <c r="G26">
        <v>4</v>
      </c>
      <c r="H26" t="s">
        <v>83</v>
      </c>
      <c r="I26">
        <v>0</v>
      </c>
    </row>
    <row r="27" spans="1:12" x14ac:dyDescent="0.25">
      <c r="A27">
        <v>2024</v>
      </c>
      <c r="B27" t="s">
        <v>35</v>
      </c>
      <c r="C27" t="s">
        <v>105</v>
      </c>
      <c r="D27">
        <v>1973</v>
      </c>
      <c r="E27">
        <v>303</v>
      </c>
      <c r="F27">
        <v>4.0599999999999996</v>
      </c>
      <c r="G27">
        <v>3</v>
      </c>
      <c r="H27" t="s">
        <v>83</v>
      </c>
      <c r="I27">
        <v>0</v>
      </c>
    </row>
    <row r="28" spans="1:12" x14ac:dyDescent="0.25">
      <c r="A28">
        <v>2024</v>
      </c>
      <c r="B28" t="s">
        <v>36</v>
      </c>
      <c r="C28" t="s">
        <v>113</v>
      </c>
      <c r="D28">
        <v>1925</v>
      </c>
      <c r="E28">
        <v>180</v>
      </c>
      <c r="F28">
        <v>3.93</v>
      </c>
      <c r="G28">
        <v>3</v>
      </c>
      <c r="H28" t="s">
        <v>85</v>
      </c>
      <c r="I28">
        <v>0</v>
      </c>
    </row>
    <row r="29" spans="1:12" x14ac:dyDescent="0.25">
      <c r="A29">
        <v>2024</v>
      </c>
      <c r="B29" t="s">
        <v>37</v>
      </c>
      <c r="C29" t="s">
        <v>106</v>
      </c>
      <c r="D29">
        <v>1945</v>
      </c>
      <c r="E29">
        <v>141</v>
      </c>
      <c r="F29">
        <v>4</v>
      </c>
      <c r="G29">
        <v>4</v>
      </c>
      <c r="H29" t="s">
        <v>85</v>
      </c>
      <c r="I29">
        <v>0</v>
      </c>
    </row>
    <row r="30" spans="1:12" x14ac:dyDescent="0.25">
      <c r="A30">
        <v>2025</v>
      </c>
      <c r="B30" t="s">
        <v>0</v>
      </c>
      <c r="C30" t="s">
        <v>114</v>
      </c>
      <c r="D30">
        <v>1963</v>
      </c>
      <c r="E30">
        <v>325</v>
      </c>
      <c r="F30">
        <v>4.2</v>
      </c>
      <c r="G30">
        <v>3</v>
      </c>
      <c r="H30" t="s">
        <v>83</v>
      </c>
      <c r="I30">
        <v>0</v>
      </c>
    </row>
    <row r="31" spans="1:12" x14ac:dyDescent="0.25">
      <c r="A31">
        <v>2025</v>
      </c>
      <c r="B31" t="s">
        <v>6</v>
      </c>
      <c r="C31" t="s">
        <v>115</v>
      </c>
      <c r="D31">
        <v>1932</v>
      </c>
      <c r="E31">
        <v>268</v>
      </c>
      <c r="F31">
        <v>3.99</v>
      </c>
      <c r="G31">
        <v>5</v>
      </c>
      <c r="H31" t="s">
        <v>82</v>
      </c>
      <c r="I31">
        <v>0</v>
      </c>
    </row>
    <row r="32" spans="1:12" x14ac:dyDescent="0.25">
      <c r="A32">
        <v>2025</v>
      </c>
      <c r="B32" t="s">
        <v>7</v>
      </c>
      <c r="C32" t="s">
        <v>116</v>
      </c>
      <c r="D32">
        <v>2023</v>
      </c>
      <c r="E32">
        <v>416</v>
      </c>
      <c r="F32">
        <v>4.1399999999999997</v>
      </c>
      <c r="G32">
        <v>5</v>
      </c>
      <c r="H32" t="s">
        <v>83</v>
      </c>
      <c r="I32">
        <v>0</v>
      </c>
    </row>
    <row r="33" spans="1:9" x14ac:dyDescent="0.25">
      <c r="A33">
        <v>2025</v>
      </c>
      <c r="B33" t="s">
        <v>8</v>
      </c>
      <c r="C33" t="s">
        <v>117</v>
      </c>
      <c r="D33">
        <v>2018</v>
      </c>
      <c r="E33">
        <v>384</v>
      </c>
      <c r="F33">
        <v>4.38</v>
      </c>
      <c r="G33">
        <v>4</v>
      </c>
      <c r="H33" t="s">
        <v>83</v>
      </c>
      <c r="I33">
        <v>0</v>
      </c>
    </row>
    <row r="34" spans="1:9" x14ac:dyDescent="0.25">
      <c r="A34">
        <v>2025</v>
      </c>
      <c r="B34" t="s">
        <v>9</v>
      </c>
      <c r="C34" t="s">
        <v>102</v>
      </c>
      <c r="D34">
        <v>2001</v>
      </c>
      <c r="E34">
        <v>635</v>
      </c>
      <c r="F34">
        <v>4.0999999999999996</v>
      </c>
      <c r="G34">
        <v>4</v>
      </c>
      <c r="H34" t="s">
        <v>84</v>
      </c>
      <c r="I34">
        <v>0</v>
      </c>
    </row>
    <row r="35" spans="1:9" x14ac:dyDescent="0.25">
      <c r="A35">
        <v>2025</v>
      </c>
      <c r="B35" t="s">
        <v>10</v>
      </c>
      <c r="C35" t="s">
        <v>102</v>
      </c>
      <c r="D35">
        <v>2006</v>
      </c>
      <c r="E35">
        <v>387</v>
      </c>
      <c r="F35">
        <v>4.04</v>
      </c>
      <c r="G35">
        <v>4</v>
      </c>
      <c r="H35" t="s">
        <v>84</v>
      </c>
      <c r="I35">
        <v>0</v>
      </c>
    </row>
    <row r="36" spans="1:9" x14ac:dyDescent="0.25">
      <c r="A36">
        <v>2025</v>
      </c>
      <c r="B36" t="s">
        <v>72</v>
      </c>
      <c r="C36" t="s">
        <v>118</v>
      </c>
      <c r="D36">
        <v>2014</v>
      </c>
      <c r="E36">
        <v>369</v>
      </c>
      <c r="F36">
        <v>4.42</v>
      </c>
      <c r="G36">
        <v>5</v>
      </c>
      <c r="H36" t="s">
        <v>82</v>
      </c>
      <c r="I36">
        <v>0</v>
      </c>
    </row>
    <row r="37" spans="1:9" x14ac:dyDescent="0.25">
      <c r="A37">
        <v>2025</v>
      </c>
      <c r="B37" t="s">
        <v>66</v>
      </c>
      <c r="C37" t="s">
        <v>98</v>
      </c>
      <c r="D37">
        <v>1974</v>
      </c>
      <c r="E37">
        <v>1246</v>
      </c>
      <c r="F37">
        <v>4.5199999999999996</v>
      </c>
      <c r="G37">
        <v>4</v>
      </c>
      <c r="H37" t="s">
        <v>86</v>
      </c>
      <c r="I37">
        <v>0</v>
      </c>
    </row>
    <row r="38" spans="1:9" x14ac:dyDescent="0.25">
      <c r="A38">
        <v>2025</v>
      </c>
      <c r="B38" t="s">
        <v>65</v>
      </c>
      <c r="C38" t="s">
        <v>93</v>
      </c>
      <c r="D38">
        <v>1976</v>
      </c>
      <c r="E38">
        <v>609</v>
      </c>
      <c r="F38">
        <v>3.96</v>
      </c>
      <c r="G38">
        <v>3</v>
      </c>
      <c r="H38" t="s">
        <v>82</v>
      </c>
      <c r="I38">
        <v>0</v>
      </c>
    </row>
    <row r="39" spans="1:9" x14ac:dyDescent="0.25">
      <c r="A39">
        <v>2025</v>
      </c>
      <c r="B39" t="s">
        <v>70</v>
      </c>
      <c r="C39" t="s">
        <v>119</v>
      </c>
      <c r="D39">
        <v>2011</v>
      </c>
      <c r="E39">
        <v>416</v>
      </c>
      <c r="F39">
        <v>4.3099999999999996</v>
      </c>
      <c r="G39">
        <v>4</v>
      </c>
      <c r="H39" t="s">
        <v>84</v>
      </c>
      <c r="I39">
        <v>0</v>
      </c>
    </row>
    <row r="40" spans="1:9" x14ac:dyDescent="0.25">
      <c r="A40">
        <v>2025</v>
      </c>
      <c r="B40" t="s">
        <v>71</v>
      </c>
      <c r="C40" t="s">
        <v>119</v>
      </c>
      <c r="D40">
        <v>2018</v>
      </c>
      <c r="E40">
        <v>393</v>
      </c>
      <c r="F40">
        <v>4.22</v>
      </c>
      <c r="G40">
        <v>4</v>
      </c>
      <c r="H40" t="s">
        <v>84</v>
      </c>
      <c r="I40">
        <v>0</v>
      </c>
    </row>
    <row r="41" spans="1:9" x14ac:dyDescent="0.25">
      <c r="A41">
        <v>2025</v>
      </c>
      <c r="B41" t="s">
        <v>73</v>
      </c>
      <c r="C41" t="s">
        <v>120</v>
      </c>
      <c r="D41">
        <v>2020</v>
      </c>
      <c r="E41">
        <v>288</v>
      </c>
      <c r="F41">
        <v>3.98</v>
      </c>
      <c r="G41">
        <v>4</v>
      </c>
      <c r="H41" t="s">
        <v>83</v>
      </c>
      <c r="I41">
        <v>0</v>
      </c>
    </row>
    <row r="42" spans="1:9" x14ac:dyDescent="0.25">
      <c r="A42">
        <v>2025</v>
      </c>
      <c r="B42" t="s">
        <v>74</v>
      </c>
      <c r="C42" t="s">
        <v>121</v>
      </c>
      <c r="D42">
        <v>1974</v>
      </c>
      <c r="E42">
        <v>272</v>
      </c>
      <c r="F42">
        <v>3.99</v>
      </c>
      <c r="G42">
        <v>3</v>
      </c>
      <c r="H42" t="s">
        <v>83</v>
      </c>
      <c r="I42">
        <v>0</v>
      </c>
    </row>
    <row r="43" spans="1:9" x14ac:dyDescent="0.25">
      <c r="A43">
        <v>2025</v>
      </c>
      <c r="B43" t="s">
        <v>75</v>
      </c>
      <c r="C43" t="s">
        <v>122</v>
      </c>
      <c r="D43">
        <v>2019</v>
      </c>
      <c r="E43">
        <v>246</v>
      </c>
      <c r="F43">
        <v>4</v>
      </c>
      <c r="G43">
        <v>3</v>
      </c>
      <c r="H43" t="s">
        <v>83</v>
      </c>
      <c r="I43">
        <v>0</v>
      </c>
    </row>
    <row r="44" spans="1:9" x14ac:dyDescent="0.25">
      <c r="A44">
        <v>2026</v>
      </c>
      <c r="B44" t="s">
        <v>76</v>
      </c>
      <c r="C44" t="s">
        <v>101</v>
      </c>
      <c r="D44">
        <v>2017</v>
      </c>
      <c r="E44">
        <v>416</v>
      </c>
      <c r="F44">
        <v>4.25</v>
      </c>
      <c r="G44">
        <v>4</v>
      </c>
      <c r="H44" t="s">
        <v>84</v>
      </c>
      <c r="I44">
        <v>0</v>
      </c>
    </row>
    <row r="45" spans="1:9" x14ac:dyDescent="0.25">
      <c r="A45">
        <v>2026</v>
      </c>
      <c r="B45" t="s">
        <v>77</v>
      </c>
      <c r="C45" t="s">
        <v>100</v>
      </c>
      <c r="D45">
        <v>1950</v>
      </c>
      <c r="E45">
        <v>224</v>
      </c>
      <c r="F45">
        <v>4.21</v>
      </c>
      <c r="G45">
        <v>4</v>
      </c>
      <c r="H45" t="s">
        <v>82</v>
      </c>
      <c r="I45">
        <v>0</v>
      </c>
    </row>
    <row r="46" spans="1:9" x14ac:dyDescent="0.25">
      <c r="A46">
        <v>2026</v>
      </c>
      <c r="B46" t="s">
        <v>78</v>
      </c>
      <c r="C46" t="s">
        <v>118</v>
      </c>
      <c r="D46">
        <v>2021</v>
      </c>
      <c r="E46">
        <v>476</v>
      </c>
      <c r="F46">
        <v>4.51</v>
      </c>
      <c r="G46">
        <v>5</v>
      </c>
      <c r="H46" t="s">
        <v>82</v>
      </c>
      <c r="I46">
        <v>0</v>
      </c>
    </row>
    <row r="47" spans="1:9" x14ac:dyDescent="0.25">
      <c r="A47">
        <v>2026</v>
      </c>
      <c r="B47" t="s">
        <v>79</v>
      </c>
      <c r="C47" t="s">
        <v>99</v>
      </c>
      <c r="D47">
        <v>2025</v>
      </c>
      <c r="E47">
        <v>198</v>
      </c>
      <c r="F47">
        <v>4.33</v>
      </c>
      <c r="G47">
        <v>5</v>
      </c>
      <c r="H47" t="s">
        <v>86</v>
      </c>
      <c r="I47">
        <v>0</v>
      </c>
    </row>
    <row r="48" spans="1:9" x14ac:dyDescent="0.25">
      <c r="A48">
        <v>2026</v>
      </c>
      <c r="B48" t="s">
        <v>80</v>
      </c>
      <c r="C48" t="s">
        <v>123</v>
      </c>
      <c r="D48">
        <v>2019</v>
      </c>
      <c r="E48">
        <v>448</v>
      </c>
      <c r="F48">
        <v>4.33</v>
      </c>
      <c r="G48">
        <v>4</v>
      </c>
      <c r="H48" t="s">
        <v>86</v>
      </c>
      <c r="I48">
        <v>0</v>
      </c>
    </row>
    <row r="49" spans="1:9" x14ac:dyDescent="0.25">
      <c r="A49">
        <v>2022</v>
      </c>
      <c r="B49" t="s">
        <v>124</v>
      </c>
      <c r="C49" t="s">
        <v>125</v>
      </c>
      <c r="D49">
        <v>2021</v>
      </c>
      <c r="E49">
        <v>224</v>
      </c>
      <c r="F49">
        <v>4.0999999999999996</v>
      </c>
      <c r="G49">
        <v>5</v>
      </c>
      <c r="H49" t="s">
        <v>86</v>
      </c>
      <c r="I49">
        <v>0</v>
      </c>
    </row>
    <row r="50" spans="1:9" x14ac:dyDescent="0.25">
      <c r="A50">
        <v>2020</v>
      </c>
      <c r="B50" t="s">
        <v>126</v>
      </c>
      <c r="C50" t="s">
        <v>127</v>
      </c>
      <c r="D50">
        <v>2019</v>
      </c>
      <c r="E50">
        <v>314</v>
      </c>
      <c r="F50">
        <v>4.0999999999999996</v>
      </c>
      <c r="G50">
        <v>4</v>
      </c>
      <c r="H50" t="s">
        <v>86</v>
      </c>
      <c r="I50">
        <v>0</v>
      </c>
    </row>
    <row r="51" spans="1:9" x14ac:dyDescent="0.25">
      <c r="A51">
        <v>2016</v>
      </c>
      <c r="B51" t="s">
        <v>128</v>
      </c>
      <c r="C51" t="s">
        <v>129</v>
      </c>
      <c r="D51">
        <v>1937</v>
      </c>
      <c r="E51">
        <v>238</v>
      </c>
      <c r="F51">
        <v>3.99</v>
      </c>
      <c r="G51">
        <v>4</v>
      </c>
      <c r="H51" t="s">
        <v>83</v>
      </c>
      <c r="I51">
        <v>1</v>
      </c>
    </row>
    <row r="52" spans="1:9" x14ac:dyDescent="0.25">
      <c r="A52">
        <v>2016</v>
      </c>
      <c r="B52" t="s">
        <v>132</v>
      </c>
      <c r="C52" t="s">
        <v>133</v>
      </c>
      <c r="D52">
        <v>1985</v>
      </c>
      <c r="E52">
        <v>324</v>
      </c>
      <c r="F52">
        <v>4.3099999999999996</v>
      </c>
      <c r="G52">
        <v>4</v>
      </c>
      <c r="H52" t="s">
        <v>82</v>
      </c>
      <c r="I52">
        <v>1</v>
      </c>
    </row>
    <row r="53" spans="1:9" x14ac:dyDescent="0.25">
      <c r="A53">
        <v>2014</v>
      </c>
      <c r="B53" t="s">
        <v>134</v>
      </c>
      <c r="C53" t="s">
        <v>135</v>
      </c>
      <c r="D53">
        <v>2012</v>
      </c>
      <c r="E53">
        <v>313</v>
      </c>
      <c r="F53">
        <v>4.12</v>
      </c>
      <c r="G53">
        <v>4</v>
      </c>
      <c r="H53" t="s">
        <v>83</v>
      </c>
      <c r="I53">
        <v>0</v>
      </c>
    </row>
    <row r="54" spans="1:9" x14ac:dyDescent="0.25">
      <c r="A54">
        <v>2016</v>
      </c>
      <c r="B54" t="s">
        <v>136</v>
      </c>
      <c r="C54" t="s">
        <v>137</v>
      </c>
      <c r="D54">
        <v>1959</v>
      </c>
      <c r="E54">
        <v>162</v>
      </c>
      <c r="F54">
        <v>3.85</v>
      </c>
      <c r="G54">
        <v>3</v>
      </c>
      <c r="H54" t="s">
        <v>163</v>
      </c>
      <c r="I54">
        <v>1</v>
      </c>
    </row>
    <row r="55" spans="1:9" x14ac:dyDescent="0.25">
      <c r="A55">
        <v>2016</v>
      </c>
      <c r="B55" t="s">
        <v>138</v>
      </c>
      <c r="C55" t="s">
        <v>139</v>
      </c>
      <c r="D55">
        <v>1953</v>
      </c>
      <c r="E55">
        <v>143</v>
      </c>
      <c r="F55">
        <v>3.61</v>
      </c>
      <c r="G55">
        <v>3</v>
      </c>
      <c r="H55" t="s">
        <v>83</v>
      </c>
      <c r="I55">
        <v>1</v>
      </c>
    </row>
    <row r="56" spans="1:9" x14ac:dyDescent="0.25">
      <c r="A56">
        <v>2019</v>
      </c>
      <c r="B56" t="s">
        <v>140</v>
      </c>
      <c r="C56" t="s">
        <v>141</v>
      </c>
      <c r="D56">
        <v>2012</v>
      </c>
      <c r="E56">
        <v>432</v>
      </c>
      <c r="F56">
        <v>4.18</v>
      </c>
      <c r="G56">
        <v>5</v>
      </c>
      <c r="H56" t="s">
        <v>86</v>
      </c>
      <c r="I56">
        <v>0</v>
      </c>
    </row>
    <row r="57" spans="1:9" x14ac:dyDescent="0.25">
      <c r="A57">
        <v>2015</v>
      </c>
      <c r="B57" t="s">
        <v>142</v>
      </c>
      <c r="C57" t="s">
        <v>143</v>
      </c>
      <c r="D57">
        <v>801</v>
      </c>
      <c r="E57">
        <v>541</v>
      </c>
      <c r="F57">
        <v>3.84</v>
      </c>
      <c r="G57">
        <v>4</v>
      </c>
      <c r="H57" t="s">
        <v>84</v>
      </c>
      <c r="I57">
        <v>1</v>
      </c>
    </row>
    <row r="58" spans="1:9" x14ac:dyDescent="0.25">
      <c r="A58">
        <v>2016</v>
      </c>
      <c r="B58" t="s">
        <v>144</v>
      </c>
      <c r="C58" t="s">
        <v>145</v>
      </c>
      <c r="D58">
        <v>1885</v>
      </c>
      <c r="E58">
        <v>327</v>
      </c>
      <c r="F58">
        <v>3.83</v>
      </c>
      <c r="G58">
        <v>4</v>
      </c>
      <c r="H58" t="s">
        <v>83</v>
      </c>
      <c r="I58">
        <v>1</v>
      </c>
    </row>
    <row r="59" spans="1:9" x14ac:dyDescent="0.25">
      <c r="A59">
        <v>2015</v>
      </c>
      <c r="B59" t="s">
        <v>146</v>
      </c>
      <c r="C59" t="s">
        <v>147</v>
      </c>
      <c r="D59">
        <v>1937</v>
      </c>
      <c r="E59">
        <v>107</v>
      </c>
      <c r="F59">
        <v>3.9</v>
      </c>
      <c r="G59">
        <v>3</v>
      </c>
      <c r="H59" t="s">
        <v>83</v>
      </c>
      <c r="I59">
        <v>1</v>
      </c>
    </row>
    <row r="60" spans="1:9" x14ac:dyDescent="0.25">
      <c r="A60">
        <v>2014</v>
      </c>
      <c r="B60" t="s">
        <v>148</v>
      </c>
      <c r="C60" t="s">
        <v>149</v>
      </c>
      <c r="D60">
        <v>1951</v>
      </c>
      <c r="E60">
        <v>277</v>
      </c>
      <c r="F60">
        <v>3.8</v>
      </c>
      <c r="G60">
        <v>3</v>
      </c>
      <c r="H60" t="s">
        <v>83</v>
      </c>
      <c r="I60">
        <v>1</v>
      </c>
    </row>
    <row r="61" spans="1:9" x14ac:dyDescent="0.25">
      <c r="A61">
        <v>2014</v>
      </c>
      <c r="B61" t="s">
        <v>150</v>
      </c>
      <c r="C61" t="s">
        <v>151</v>
      </c>
      <c r="D61">
        <v>1960</v>
      </c>
      <c r="E61">
        <v>323</v>
      </c>
      <c r="F61">
        <v>4.26</v>
      </c>
      <c r="G61">
        <v>4</v>
      </c>
      <c r="H61" t="s">
        <v>83</v>
      </c>
      <c r="I61">
        <v>1</v>
      </c>
    </row>
    <row r="62" spans="1:9" x14ac:dyDescent="0.25">
      <c r="A62">
        <v>2014</v>
      </c>
      <c r="B62" t="s">
        <v>152</v>
      </c>
      <c r="C62" t="s">
        <v>153</v>
      </c>
      <c r="D62">
        <v>1967</v>
      </c>
      <c r="E62">
        <v>208</v>
      </c>
      <c r="F62">
        <v>4.1500000000000004</v>
      </c>
      <c r="G62">
        <v>4</v>
      </c>
      <c r="H62" t="s">
        <v>83</v>
      </c>
      <c r="I62">
        <v>1</v>
      </c>
    </row>
    <row r="63" spans="1:9" x14ac:dyDescent="0.25">
      <c r="A63">
        <v>2013</v>
      </c>
      <c r="B63" t="s">
        <v>154</v>
      </c>
      <c r="C63" t="s">
        <v>155</v>
      </c>
      <c r="D63">
        <v>1979</v>
      </c>
      <c r="E63">
        <v>216</v>
      </c>
      <c r="F63">
        <v>4.22</v>
      </c>
      <c r="G63">
        <v>5</v>
      </c>
      <c r="H63" t="s">
        <v>82</v>
      </c>
      <c r="I63">
        <v>0</v>
      </c>
    </row>
    <row r="64" spans="1:9" x14ac:dyDescent="0.25">
      <c r="A64">
        <v>2013</v>
      </c>
      <c r="B64" t="s">
        <v>156</v>
      </c>
      <c r="C64" t="s">
        <v>155</v>
      </c>
      <c r="D64">
        <v>1980</v>
      </c>
      <c r="E64">
        <v>250</v>
      </c>
      <c r="F64">
        <v>4.1900000000000004</v>
      </c>
      <c r="G64">
        <v>4</v>
      </c>
      <c r="H64" t="s">
        <v>82</v>
      </c>
      <c r="I64">
        <v>0</v>
      </c>
    </row>
    <row r="65" spans="1:9" x14ac:dyDescent="0.25">
      <c r="A65">
        <v>2012</v>
      </c>
      <c r="B65" t="s">
        <v>157</v>
      </c>
      <c r="C65" t="s">
        <v>158</v>
      </c>
      <c r="D65">
        <v>1993</v>
      </c>
      <c r="E65">
        <v>208</v>
      </c>
      <c r="F65">
        <v>4.12</v>
      </c>
      <c r="G65">
        <v>4</v>
      </c>
      <c r="H65" t="s">
        <v>82</v>
      </c>
      <c r="I65">
        <v>1</v>
      </c>
    </row>
    <row r="66" spans="1:9" x14ac:dyDescent="0.25">
      <c r="A66">
        <v>2016</v>
      </c>
      <c r="B66" t="s">
        <v>159</v>
      </c>
      <c r="C66" t="s">
        <v>160</v>
      </c>
      <c r="D66">
        <v>1953</v>
      </c>
      <c r="E66">
        <v>249</v>
      </c>
      <c r="F66">
        <v>3.97</v>
      </c>
      <c r="G66">
        <v>4</v>
      </c>
      <c r="H66" t="s">
        <v>82</v>
      </c>
      <c r="I66">
        <v>1</v>
      </c>
    </row>
    <row r="67" spans="1:9" x14ac:dyDescent="0.25">
      <c r="A67">
        <v>2017</v>
      </c>
      <c r="B67">
        <v>1984</v>
      </c>
      <c r="C67" t="s">
        <v>106</v>
      </c>
      <c r="D67">
        <v>1948</v>
      </c>
      <c r="E67">
        <v>368</v>
      </c>
      <c r="F67">
        <v>4.2</v>
      </c>
      <c r="G67">
        <v>4</v>
      </c>
      <c r="H67" t="s">
        <v>85</v>
      </c>
      <c r="I67">
        <v>1</v>
      </c>
    </row>
    <row r="68" spans="1:9" x14ac:dyDescent="0.25">
      <c r="A68">
        <v>2017</v>
      </c>
      <c r="B68" t="s">
        <v>161</v>
      </c>
      <c r="C68" t="s">
        <v>162</v>
      </c>
      <c r="D68">
        <v>1623</v>
      </c>
      <c r="E68">
        <v>249</v>
      </c>
      <c r="F68">
        <v>3.89</v>
      </c>
      <c r="G68">
        <v>4</v>
      </c>
      <c r="H68" t="s">
        <v>163</v>
      </c>
      <c r="I68">
        <v>1</v>
      </c>
    </row>
    <row r="69" spans="1:9" x14ac:dyDescent="0.25">
      <c r="A69">
        <v>2015</v>
      </c>
      <c r="B69" t="s">
        <v>164</v>
      </c>
      <c r="C69" t="s">
        <v>162</v>
      </c>
      <c r="D69">
        <v>1590</v>
      </c>
      <c r="E69">
        <v>281</v>
      </c>
      <c r="F69">
        <v>3.74</v>
      </c>
      <c r="G69">
        <v>3</v>
      </c>
      <c r="H69" t="s">
        <v>163</v>
      </c>
      <c r="I69">
        <v>1</v>
      </c>
    </row>
    <row r="70" spans="1:9" x14ac:dyDescent="0.25">
      <c r="A70">
        <v>2020</v>
      </c>
      <c r="B70" t="s">
        <v>165</v>
      </c>
      <c r="C70" t="s">
        <v>166</v>
      </c>
      <c r="D70">
        <v>1936</v>
      </c>
      <c r="E70">
        <v>288</v>
      </c>
      <c r="F70">
        <v>4.21</v>
      </c>
      <c r="G70">
        <v>5</v>
      </c>
      <c r="H70" t="s">
        <v>86</v>
      </c>
      <c r="I70">
        <v>0</v>
      </c>
    </row>
    <row r="71" spans="1:9" x14ac:dyDescent="0.25">
      <c r="A71">
        <v>2011</v>
      </c>
      <c r="B71" t="s">
        <v>167</v>
      </c>
      <c r="C71" t="s">
        <v>168</v>
      </c>
      <c r="D71">
        <v>1976</v>
      </c>
      <c r="E71">
        <v>288</v>
      </c>
      <c r="F71">
        <v>3.9</v>
      </c>
      <c r="G71">
        <v>1</v>
      </c>
      <c r="H71" t="s">
        <v>83</v>
      </c>
      <c r="I71">
        <v>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B25E0-FA9C-4DF4-8C80-0239425390AE}">
  <dimension ref="A1:I24"/>
  <sheetViews>
    <sheetView workbookViewId="0">
      <selection activeCell="I24" sqref="A24:I24"/>
    </sheetView>
  </sheetViews>
  <sheetFormatPr defaultColWidth="14.85546875" defaultRowHeight="15" x14ac:dyDescent="0.25"/>
  <sheetData>
    <row r="1" spans="1:9" x14ac:dyDescent="0.25">
      <c r="A1" t="s">
        <v>55</v>
      </c>
      <c r="B1" t="s">
        <v>1</v>
      </c>
      <c r="C1" t="s">
        <v>92</v>
      </c>
      <c r="D1" t="s">
        <v>2</v>
      </c>
      <c r="E1" t="s">
        <v>3</v>
      </c>
      <c r="F1" t="s">
        <v>4</v>
      </c>
      <c r="G1" t="s">
        <v>5</v>
      </c>
      <c r="H1" t="s">
        <v>81</v>
      </c>
      <c r="I1" t="s">
        <v>130</v>
      </c>
    </row>
    <row r="2" spans="1:9" x14ac:dyDescent="0.25">
      <c r="A2">
        <v>2022</v>
      </c>
      <c r="B2" t="s">
        <v>124</v>
      </c>
      <c r="C2" t="s">
        <v>125</v>
      </c>
      <c r="D2">
        <v>2021</v>
      </c>
      <c r="E2">
        <v>224</v>
      </c>
      <c r="F2">
        <v>4.0999999999999996</v>
      </c>
      <c r="G2">
        <v>5</v>
      </c>
      <c r="H2" t="s">
        <v>86</v>
      </c>
    </row>
    <row r="3" spans="1:9" x14ac:dyDescent="0.25">
      <c r="A3">
        <v>2020</v>
      </c>
      <c r="B3" t="s">
        <v>126</v>
      </c>
      <c r="C3" t="s">
        <v>127</v>
      </c>
      <c r="D3">
        <v>2019</v>
      </c>
      <c r="E3">
        <v>314</v>
      </c>
      <c r="F3">
        <v>4.0999999999999996</v>
      </c>
      <c r="G3">
        <v>4</v>
      </c>
      <c r="H3" t="s">
        <v>86</v>
      </c>
    </row>
    <row r="4" spans="1:9" x14ac:dyDescent="0.25">
      <c r="A4">
        <v>2016</v>
      </c>
      <c r="B4" t="s">
        <v>128</v>
      </c>
      <c r="C4" t="s">
        <v>129</v>
      </c>
      <c r="D4">
        <v>1937</v>
      </c>
      <c r="E4">
        <v>238</v>
      </c>
      <c r="F4">
        <v>3.99</v>
      </c>
      <c r="G4">
        <v>4</v>
      </c>
      <c r="H4" t="s">
        <v>83</v>
      </c>
      <c r="I4" t="s">
        <v>131</v>
      </c>
    </row>
    <row r="5" spans="1:9" x14ac:dyDescent="0.25">
      <c r="A5">
        <v>2016</v>
      </c>
      <c r="B5" t="s">
        <v>132</v>
      </c>
      <c r="C5" t="s">
        <v>133</v>
      </c>
      <c r="D5">
        <v>1985</v>
      </c>
      <c r="E5">
        <v>324</v>
      </c>
      <c r="F5">
        <v>4.3099999999999996</v>
      </c>
      <c r="G5">
        <v>4</v>
      </c>
      <c r="H5" t="s">
        <v>82</v>
      </c>
      <c r="I5" t="s">
        <v>131</v>
      </c>
    </row>
    <row r="6" spans="1:9" x14ac:dyDescent="0.25">
      <c r="A6">
        <v>2014</v>
      </c>
      <c r="B6" t="s">
        <v>134</v>
      </c>
      <c r="C6" t="s">
        <v>135</v>
      </c>
      <c r="D6">
        <v>2012</v>
      </c>
      <c r="E6">
        <v>313</v>
      </c>
      <c r="F6">
        <v>4.12</v>
      </c>
      <c r="G6">
        <v>4</v>
      </c>
      <c r="H6" t="s">
        <v>83</v>
      </c>
    </row>
    <row r="7" spans="1:9" x14ac:dyDescent="0.25">
      <c r="A7">
        <v>2016</v>
      </c>
      <c r="B7" t="s">
        <v>136</v>
      </c>
      <c r="C7" t="s">
        <v>137</v>
      </c>
      <c r="D7">
        <v>1959</v>
      </c>
      <c r="E7">
        <v>162</v>
      </c>
      <c r="F7">
        <v>3.85</v>
      </c>
      <c r="G7">
        <v>3</v>
      </c>
      <c r="H7" t="s">
        <v>163</v>
      </c>
      <c r="I7" t="s">
        <v>131</v>
      </c>
    </row>
    <row r="8" spans="1:9" x14ac:dyDescent="0.25">
      <c r="A8">
        <v>2016</v>
      </c>
      <c r="B8" t="s">
        <v>138</v>
      </c>
      <c r="C8" t="s">
        <v>139</v>
      </c>
      <c r="D8">
        <v>1953</v>
      </c>
      <c r="E8">
        <v>143</v>
      </c>
      <c r="F8">
        <v>3.61</v>
      </c>
      <c r="G8">
        <v>3</v>
      </c>
      <c r="H8" t="s">
        <v>83</v>
      </c>
      <c r="I8" t="s">
        <v>131</v>
      </c>
    </row>
    <row r="9" spans="1:9" x14ac:dyDescent="0.25">
      <c r="A9">
        <v>2019</v>
      </c>
      <c r="B9" t="s">
        <v>140</v>
      </c>
      <c r="C9" t="s">
        <v>141</v>
      </c>
      <c r="D9">
        <v>2012</v>
      </c>
      <c r="E9">
        <v>432</v>
      </c>
      <c r="F9">
        <v>4.18</v>
      </c>
      <c r="G9">
        <v>5</v>
      </c>
      <c r="H9" t="s">
        <v>86</v>
      </c>
    </row>
    <row r="10" spans="1:9" x14ac:dyDescent="0.25">
      <c r="A10">
        <v>2015</v>
      </c>
      <c r="B10" t="s">
        <v>142</v>
      </c>
      <c r="C10" t="s">
        <v>143</v>
      </c>
      <c r="D10">
        <v>801</v>
      </c>
      <c r="E10">
        <v>541</v>
      </c>
      <c r="F10">
        <v>3.84</v>
      </c>
      <c r="G10">
        <v>4</v>
      </c>
      <c r="H10" t="s">
        <v>84</v>
      </c>
      <c r="I10" t="s">
        <v>131</v>
      </c>
    </row>
    <row r="11" spans="1:9" x14ac:dyDescent="0.25">
      <c r="A11">
        <v>2016</v>
      </c>
      <c r="B11" t="s">
        <v>144</v>
      </c>
      <c r="C11" t="s">
        <v>145</v>
      </c>
      <c r="D11">
        <v>1885</v>
      </c>
      <c r="E11">
        <v>327</v>
      </c>
      <c r="F11">
        <v>3.83</v>
      </c>
      <c r="G11">
        <v>4</v>
      </c>
      <c r="H11" t="s">
        <v>83</v>
      </c>
      <c r="I11" t="s">
        <v>131</v>
      </c>
    </row>
    <row r="12" spans="1:9" x14ac:dyDescent="0.25">
      <c r="A12">
        <v>2015</v>
      </c>
      <c r="B12" t="s">
        <v>146</v>
      </c>
      <c r="C12" t="s">
        <v>147</v>
      </c>
      <c r="D12">
        <v>1937</v>
      </c>
      <c r="E12">
        <v>107</v>
      </c>
      <c r="F12">
        <v>3.9</v>
      </c>
      <c r="G12">
        <v>3</v>
      </c>
      <c r="H12" t="s">
        <v>83</v>
      </c>
      <c r="I12" t="s">
        <v>131</v>
      </c>
    </row>
    <row r="13" spans="1:9" x14ac:dyDescent="0.25">
      <c r="A13">
        <v>2014</v>
      </c>
      <c r="B13" t="s">
        <v>148</v>
      </c>
      <c r="C13" t="s">
        <v>149</v>
      </c>
      <c r="D13">
        <v>1951</v>
      </c>
      <c r="E13">
        <v>277</v>
      </c>
      <c r="F13">
        <v>3.8</v>
      </c>
      <c r="G13">
        <v>3</v>
      </c>
      <c r="H13" t="s">
        <v>83</v>
      </c>
      <c r="I13" t="s">
        <v>131</v>
      </c>
    </row>
    <row r="14" spans="1:9" x14ac:dyDescent="0.25">
      <c r="A14">
        <v>2014</v>
      </c>
      <c r="B14" t="s">
        <v>150</v>
      </c>
      <c r="C14" t="s">
        <v>151</v>
      </c>
      <c r="D14">
        <v>1960</v>
      </c>
      <c r="E14">
        <v>323</v>
      </c>
      <c r="F14">
        <v>4.26</v>
      </c>
      <c r="G14">
        <v>4</v>
      </c>
      <c r="H14" t="s">
        <v>83</v>
      </c>
      <c r="I14" t="s">
        <v>131</v>
      </c>
    </row>
    <row r="15" spans="1:9" x14ac:dyDescent="0.25">
      <c r="A15">
        <v>2014</v>
      </c>
      <c r="B15" t="s">
        <v>152</v>
      </c>
      <c r="C15" t="s">
        <v>153</v>
      </c>
      <c r="D15">
        <v>1967</v>
      </c>
      <c r="E15">
        <v>208</v>
      </c>
      <c r="F15">
        <v>4.1500000000000004</v>
      </c>
      <c r="G15">
        <v>4</v>
      </c>
      <c r="H15" t="s">
        <v>83</v>
      </c>
      <c r="I15" t="s">
        <v>131</v>
      </c>
    </row>
    <row r="16" spans="1:9" x14ac:dyDescent="0.25">
      <c r="A16">
        <v>2013</v>
      </c>
      <c r="B16" t="s">
        <v>154</v>
      </c>
      <c r="C16" t="s">
        <v>155</v>
      </c>
      <c r="D16">
        <v>1979</v>
      </c>
      <c r="E16">
        <v>216</v>
      </c>
      <c r="F16">
        <v>4.22</v>
      </c>
      <c r="G16">
        <v>5</v>
      </c>
      <c r="H16" t="s">
        <v>82</v>
      </c>
    </row>
    <row r="17" spans="1:9" x14ac:dyDescent="0.25">
      <c r="A17">
        <v>2013</v>
      </c>
      <c r="B17" t="s">
        <v>156</v>
      </c>
      <c r="C17" t="s">
        <v>155</v>
      </c>
      <c r="D17">
        <v>1980</v>
      </c>
      <c r="E17">
        <v>250</v>
      </c>
      <c r="F17">
        <v>4.1900000000000004</v>
      </c>
      <c r="G17">
        <v>4</v>
      </c>
      <c r="H17" t="s">
        <v>82</v>
      </c>
    </row>
    <row r="18" spans="1:9" x14ac:dyDescent="0.25">
      <c r="A18">
        <v>2012</v>
      </c>
      <c r="B18" t="s">
        <v>157</v>
      </c>
      <c r="C18" t="s">
        <v>158</v>
      </c>
      <c r="D18">
        <v>1993</v>
      </c>
      <c r="E18">
        <v>208</v>
      </c>
      <c r="F18">
        <v>4.12</v>
      </c>
      <c r="G18">
        <v>4</v>
      </c>
      <c r="H18" t="s">
        <v>82</v>
      </c>
      <c r="I18" t="s">
        <v>131</v>
      </c>
    </row>
    <row r="19" spans="1:9" x14ac:dyDescent="0.25">
      <c r="A19">
        <v>2016</v>
      </c>
      <c r="B19" t="s">
        <v>159</v>
      </c>
      <c r="C19" t="s">
        <v>160</v>
      </c>
      <c r="D19">
        <v>1953</v>
      </c>
      <c r="E19">
        <v>249</v>
      </c>
      <c r="F19">
        <v>3.97</v>
      </c>
      <c r="G19">
        <v>4</v>
      </c>
      <c r="H19" t="s">
        <v>82</v>
      </c>
      <c r="I19" t="s">
        <v>131</v>
      </c>
    </row>
    <row r="20" spans="1:9" x14ac:dyDescent="0.25">
      <c r="A20">
        <v>2017</v>
      </c>
      <c r="B20">
        <v>1984</v>
      </c>
      <c r="C20" t="s">
        <v>106</v>
      </c>
      <c r="D20">
        <v>1948</v>
      </c>
      <c r="E20">
        <v>368</v>
      </c>
      <c r="F20">
        <v>4.2</v>
      </c>
      <c r="G20">
        <v>4</v>
      </c>
      <c r="H20" t="s">
        <v>85</v>
      </c>
      <c r="I20" t="s">
        <v>131</v>
      </c>
    </row>
    <row r="21" spans="1:9" x14ac:dyDescent="0.25">
      <c r="A21">
        <v>2017</v>
      </c>
      <c r="B21" t="s">
        <v>161</v>
      </c>
      <c r="C21" t="s">
        <v>162</v>
      </c>
      <c r="D21">
        <v>1623</v>
      </c>
      <c r="E21">
        <v>249</v>
      </c>
      <c r="F21">
        <v>3.89</v>
      </c>
      <c r="G21">
        <v>4</v>
      </c>
      <c r="H21" t="s">
        <v>163</v>
      </c>
      <c r="I21" t="s">
        <v>131</v>
      </c>
    </row>
    <row r="22" spans="1:9" x14ac:dyDescent="0.25">
      <c r="A22">
        <v>2015</v>
      </c>
      <c r="B22" t="s">
        <v>164</v>
      </c>
      <c r="C22" t="s">
        <v>162</v>
      </c>
      <c r="D22">
        <v>1590</v>
      </c>
      <c r="E22">
        <v>281</v>
      </c>
      <c r="F22">
        <v>3.74</v>
      </c>
      <c r="G22">
        <v>3</v>
      </c>
      <c r="H22" t="s">
        <v>163</v>
      </c>
      <c r="I22" t="s">
        <v>131</v>
      </c>
    </row>
    <row r="23" spans="1:9" x14ac:dyDescent="0.25">
      <c r="A23">
        <v>2020</v>
      </c>
      <c r="B23" t="s">
        <v>165</v>
      </c>
      <c r="C23" t="s">
        <v>166</v>
      </c>
      <c r="D23">
        <v>1936</v>
      </c>
      <c r="E23">
        <v>288</v>
      </c>
      <c r="F23">
        <v>4.21</v>
      </c>
      <c r="G23">
        <v>5</v>
      </c>
      <c r="H23" t="s">
        <v>86</v>
      </c>
    </row>
    <row r="24" spans="1:9" x14ac:dyDescent="0.25">
      <c r="A24">
        <v>2011</v>
      </c>
      <c r="B24" t="s">
        <v>167</v>
      </c>
      <c r="C24" t="s">
        <v>168</v>
      </c>
      <c r="D24">
        <v>1976</v>
      </c>
      <c r="E24">
        <v>288</v>
      </c>
      <c r="F24">
        <v>3.9</v>
      </c>
      <c r="G24">
        <v>1</v>
      </c>
      <c r="H24" t="s">
        <v>83</v>
      </c>
      <c r="I24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2023</vt:lpstr>
      <vt:lpstr>2024</vt:lpstr>
      <vt:lpstr>2025</vt:lpstr>
      <vt:lpstr>2026</vt:lpstr>
      <vt:lpstr>Summary</vt:lpstr>
      <vt:lpstr>Pre-2023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Leo</cp:lastModifiedBy>
  <dcterms:created xsi:type="dcterms:W3CDTF">2025-05-29T10:54:01Z</dcterms:created>
  <dcterms:modified xsi:type="dcterms:W3CDTF">2026-05-04T21:34:38Z</dcterms:modified>
</cp:coreProperties>
</file>